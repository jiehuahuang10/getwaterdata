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0752" windowHeight="9555" tabRatio="600" firstSheet="0" activeTab="0" autoFilterDateGrouping="1"/>
  </bookViews>
  <sheets>
    <sheet name="石滩区" sheetId="1" state="visible" r:id="rId1"/>
  </sheets>
  <definedNames/>
  <calcPr calcId="191029" fullCalcOnLoad="1" iterate="1" iterateCount="100" iterateDelta="0.001"/>
</workbook>
</file>

<file path=xl/styles.xml><?xml version="1.0" encoding="utf-8"?>
<styleSheet xmlns="http://schemas.openxmlformats.org/spreadsheetml/2006/main">
  <numFmts count="0"/>
  <fonts count="24">
    <font>
      <name val="Arial"/>
      <charset val="134"/>
      <sz val="10"/>
    </font>
    <font>
      <name val="宋体"/>
      <charset val="134"/>
      <sz val="20"/>
    </font>
    <font>
      <name val="宋体"/>
      <charset val="134"/>
      <sz val="10"/>
    </font>
    <font>
      <name val="Tahoma"/>
      <charset val="134"/>
      <color rgb="FF000000"/>
      <sz val="9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49">
    <xf numFmtId="0" fontId="0" fillId="0" borderId="0" applyAlignment="1">
      <alignment vertical="center"/>
    </xf>
    <xf numFmtId="43" fontId="4" fillId="0" borderId="0" applyAlignment="1">
      <alignment vertical="center"/>
    </xf>
    <xf numFmtId="44" fontId="4" fillId="0" borderId="0" applyAlignment="1">
      <alignment vertical="center"/>
    </xf>
    <xf numFmtId="9" fontId="4" fillId="0" borderId="0" applyAlignment="1">
      <alignment vertical="center"/>
    </xf>
    <xf numFmtId="41" fontId="4" fillId="0" borderId="0" applyAlignment="1">
      <alignment vertical="center"/>
    </xf>
    <xf numFmtId="42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4" fillId="2" borderId="7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8" applyAlignment="1">
      <alignment vertical="center"/>
    </xf>
    <xf numFmtId="0" fontId="11" fillId="0" borderId="8" applyAlignment="1">
      <alignment vertical="center"/>
    </xf>
    <xf numFmtId="0" fontId="12" fillId="0" borderId="9" applyAlignment="1">
      <alignment vertical="center"/>
    </xf>
    <xf numFmtId="0" fontId="12" fillId="0" borderId="0" applyAlignment="1">
      <alignment vertical="center"/>
    </xf>
    <xf numFmtId="0" fontId="13" fillId="3" borderId="10" applyAlignment="1">
      <alignment vertical="center"/>
    </xf>
    <xf numFmtId="0" fontId="14" fillId="4" borderId="11" applyAlignment="1">
      <alignment vertical="center"/>
    </xf>
    <xf numFmtId="0" fontId="15" fillId="4" borderId="10" applyAlignment="1">
      <alignment vertical="center"/>
    </xf>
    <xf numFmtId="0" fontId="16" fillId="5" borderId="12" applyAlignment="1">
      <alignment vertical="center"/>
    </xf>
    <xf numFmtId="0" fontId="17" fillId="0" borderId="13" applyAlignment="1">
      <alignment vertical="center"/>
    </xf>
    <xf numFmtId="0" fontId="18" fillId="0" borderId="14" applyAlignment="1">
      <alignment vertical="center"/>
    </xf>
    <xf numFmtId="0" fontId="19" fillId="6" borderId="0" applyAlignment="1">
      <alignment vertical="center"/>
    </xf>
    <xf numFmtId="0" fontId="20" fillId="7" borderId="0" applyAlignment="1">
      <alignment vertical="center"/>
    </xf>
    <xf numFmtId="0" fontId="21" fillId="8" borderId="0" applyAlignment="1">
      <alignment vertical="center"/>
    </xf>
    <xf numFmtId="0" fontId="22" fillId="9" borderId="0" applyAlignment="1">
      <alignment vertical="center"/>
    </xf>
    <xf numFmtId="0" fontId="23" fillId="10" borderId="0" applyAlignment="1">
      <alignment vertical="center"/>
    </xf>
    <xf numFmtId="0" fontId="23" fillId="11" borderId="0" applyAlignment="1">
      <alignment vertical="center"/>
    </xf>
    <xf numFmtId="0" fontId="22" fillId="12" borderId="0" applyAlignment="1">
      <alignment vertical="center"/>
    </xf>
    <xf numFmtId="0" fontId="22" fillId="13" borderId="0" applyAlignment="1">
      <alignment vertical="center"/>
    </xf>
    <xf numFmtId="0" fontId="23" fillId="14" borderId="0" applyAlignment="1">
      <alignment vertical="center"/>
    </xf>
    <xf numFmtId="0" fontId="23" fillId="15" borderId="0" applyAlignment="1">
      <alignment vertical="center"/>
    </xf>
    <xf numFmtId="0" fontId="22" fillId="16" borderId="0" applyAlignment="1">
      <alignment vertical="center"/>
    </xf>
    <xf numFmtId="0" fontId="22" fillId="17" borderId="0" applyAlignment="1">
      <alignment vertical="center"/>
    </xf>
    <xf numFmtId="0" fontId="23" fillId="18" borderId="0" applyAlignment="1">
      <alignment vertical="center"/>
    </xf>
    <xf numFmtId="0" fontId="23" fillId="19" borderId="0" applyAlignment="1">
      <alignment vertical="center"/>
    </xf>
    <xf numFmtId="0" fontId="22" fillId="20" borderId="0" applyAlignment="1">
      <alignment vertical="center"/>
    </xf>
    <xf numFmtId="0" fontId="22" fillId="21" borderId="0" applyAlignment="1">
      <alignment vertical="center"/>
    </xf>
    <xf numFmtId="0" fontId="23" fillId="22" borderId="0" applyAlignment="1">
      <alignment vertical="center"/>
    </xf>
    <xf numFmtId="0" fontId="23" fillId="23" borderId="0" applyAlignment="1">
      <alignment vertical="center"/>
    </xf>
    <xf numFmtId="0" fontId="22" fillId="24" borderId="0" applyAlignment="1">
      <alignment vertical="center"/>
    </xf>
    <xf numFmtId="0" fontId="22" fillId="25" borderId="0" applyAlignment="1">
      <alignment vertical="center"/>
    </xf>
    <xf numFmtId="0" fontId="23" fillId="26" borderId="0" applyAlignment="1">
      <alignment vertical="center"/>
    </xf>
    <xf numFmtId="0" fontId="23" fillId="27" borderId="0" applyAlignment="1">
      <alignment vertical="center"/>
    </xf>
    <xf numFmtId="0" fontId="22" fillId="28" borderId="0" applyAlignment="1">
      <alignment vertical="center"/>
    </xf>
    <xf numFmtId="0" fontId="22" fillId="29" borderId="0" applyAlignment="1">
      <alignment vertical="center"/>
    </xf>
    <xf numFmtId="0" fontId="23" fillId="30" borderId="0" applyAlignment="1">
      <alignment vertical="center"/>
    </xf>
    <xf numFmtId="0" fontId="23" fillId="31" borderId="0" applyAlignment="1">
      <alignment vertical="center"/>
    </xf>
    <xf numFmtId="0" fontId="22" fillId="32" borderId="0" applyAlignment="1">
      <alignment vertical="center"/>
    </xf>
  </cellStyleXfs>
  <cellXfs count="28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58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57" fontId="0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0" fillId="0" borderId="3" pivotButton="0" quotePrefix="0" xfId="0"/>
    <xf numFmtId="0" fontId="2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right" vertical="center"/>
    </xf>
    <xf numFmtId="0" fontId="0" fillId="0" borderId="4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4" pivotButton="0" quotePrefix="0" xfId="0"/>
    <xf numFmtId="0" fontId="0" fillId="0" borderId="6" pivotButton="0" quotePrefix="0" xfId="0"/>
    <xf numFmtId="22" fontId="3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right" vertical="center" wrapText="1"/>
    </xf>
    <xf numFmtId="10" fontId="0" fillId="0" borderId="1" applyAlignment="1" pivotButton="0" quotePrefix="0" xfId="0">
      <alignment horizontal="center" vertical="center"/>
    </xf>
    <xf numFmtId="10" fontId="0" fillId="0" borderId="4" applyAlignment="1" pivotButton="0" quotePrefix="0" xfId="0">
      <alignment horizontal="center" vertical="center"/>
    </xf>
    <xf numFmtId="0" fontId="0" fillId="0" borderId="19" applyAlignment="1" pivotButton="0" quotePrefix="0" xfId="0">
      <alignment horizontal="center" vertical="center"/>
    </xf>
    <xf numFmtId="0" fontId="0" fillId="0" borderId="19" pivotButton="0" quotePrefix="0" xfId="0"/>
    <xf numFmtId="10" fontId="0" fillId="0" borderId="19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23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69"/>
  <sheetViews>
    <sheetView tabSelected="1" topLeftCell="A20" zoomScale="115" zoomScaleNormal="115" workbookViewId="0">
      <selection activeCell="A77" sqref="$A39:$XFD77"/>
    </sheetView>
  </sheetViews>
  <sheetFormatPr baseColWidth="8" defaultColWidth="9" defaultRowHeight="12.75"/>
  <cols>
    <col width="5.28318584070797" customWidth="1" style="1" min="1" max="1"/>
    <col width="13.283185840708" customWidth="1" style="1" min="2" max="2"/>
    <col width="21.4955752212389" customWidth="1" style="1" min="3" max="3"/>
    <col width="14.858407079646" customWidth="1" style="2" min="4" max="4"/>
    <col width="18" customWidth="1" style="1" min="5" max="5"/>
    <col width="18.3805309734513" customWidth="1" style="1" min="6" max="6"/>
    <col width="13" customWidth="1" style="1" min="7" max="7"/>
    <col width="14.4247787610619" customWidth="1" style="1" min="8" max="8"/>
    <col width="14.5309734513274" customWidth="1" style="1" min="9" max="9"/>
    <col width="17.8761061946903" customWidth="1" style="1" min="10" max="10"/>
    <col width="11.716814159292" customWidth="1" style="1" min="15" max="15"/>
    <col width="13.1592920353982" customWidth="1" style="1" min="19" max="19"/>
  </cols>
  <sheetData>
    <row r="1" ht="46" customHeight="1" s="1">
      <c r="A1" s="3" t="inlineStr">
        <is>
          <t>石滩分区计量统计</t>
        </is>
      </c>
      <c r="M1" s="19" t="n"/>
      <c r="N1" s="20" t="n"/>
      <c r="O1" s="0" t="n"/>
      <c r="P1" s="19" t="n"/>
      <c r="Q1" s="20" t="n"/>
      <c r="S1" s="19" t="n"/>
      <c r="T1" s="20" t="n"/>
    </row>
    <row r="2">
      <c r="J2" s="0" t="n"/>
      <c r="M2" s="19" t="n"/>
      <c r="N2" s="20" t="n"/>
      <c r="O2" s="0" t="n"/>
      <c r="P2" s="19" t="n"/>
      <c r="Q2" s="20" t="n"/>
      <c r="S2" s="19" t="n"/>
      <c r="T2" s="20" t="n"/>
    </row>
    <row r="3">
      <c r="B3" s="4" t="inlineStr">
        <is>
          <t>抄表时间</t>
        </is>
      </c>
      <c r="C3" s="5" t="inlineStr">
        <is>
          <t>每月21日至27日</t>
        </is>
      </c>
      <c r="J3" s="0" t="n"/>
      <c r="M3" s="19" t="n"/>
      <c r="N3" s="20" t="n"/>
      <c r="O3" s="0" t="n"/>
      <c r="P3" s="19" t="n"/>
      <c r="Q3" s="20" t="n"/>
      <c r="S3" s="19" t="n"/>
      <c r="T3" s="20" t="n"/>
    </row>
    <row r="4">
      <c r="B4" s="4" t="inlineStr">
        <is>
          <t>流量计取值时间</t>
        </is>
      </c>
      <c r="C4" s="5" t="inlineStr">
        <is>
          <t>上月25日至当月24日</t>
        </is>
      </c>
      <c r="J4" s="0" t="n"/>
      <c r="M4" s="19" t="n"/>
      <c r="N4" s="20" t="n"/>
      <c r="O4" s="0" t="n"/>
      <c r="P4" s="19" t="n"/>
      <c r="Q4" s="20" t="n"/>
      <c r="S4" s="19" t="n"/>
      <c r="T4" s="20" t="n"/>
    </row>
    <row r="5" ht="25.5" customHeight="1" s="1">
      <c r="B5" s="4" t="inlineStr">
        <is>
          <t>１区月供水量＝荔新大道ＤＮ1200流量计月供水量（旧）－宁西总表ＤＮ1200流量计月供水量－如丰大道ＤＮ600流量计月供水量</t>
        </is>
      </c>
      <c r="C5" s="4" t="n"/>
      <c r="D5" s="4" t="n"/>
      <c r="E5" s="4" t="n"/>
      <c r="F5" s="4" t="n"/>
      <c r="G5" s="4" t="n"/>
      <c r="H5" s="0" t="n"/>
    </row>
    <row r="6" ht="26.25" customHeight="1" s="1">
      <c r="B6" s="4" t="inlineStr">
        <is>
          <t>２区月供水量＝如丰大道ＤＮ600流量计月供水量+新城大道医院NBＤＮ800流量计月供水量－三棵竹ＤＮ600流量计月供水量</t>
        </is>
      </c>
      <c r="C6" s="4" t="n"/>
      <c r="D6" s="4" t="n"/>
      <c r="E6" s="4" t="n"/>
      <c r="F6" s="4" t="n"/>
      <c r="G6" s="4" t="n"/>
      <c r="H6" s="0" t="n"/>
    </row>
    <row r="7" ht="27" customHeight="1" s="1">
      <c r="B7" s="6" t="inlineStr">
        <is>
          <t>３区月供水量＝三棵竹ＤＮ600流量计月供水量</t>
        </is>
      </c>
    </row>
    <row r="8">
      <c r="B8" s="4" t="n"/>
      <c r="C8" s="5" t="n"/>
      <c r="J8" s="0" t="n"/>
      <c r="M8" s="19" t="n"/>
      <c r="N8" s="20" t="n"/>
      <c r="O8" s="0" t="n"/>
      <c r="P8" s="19" t="n"/>
      <c r="Q8" s="20" t="n"/>
      <c r="S8" s="19" t="n"/>
      <c r="T8" s="20" t="n"/>
    </row>
    <row r="9">
      <c r="A9" s="7" t="n">
        <v>45689</v>
      </c>
      <c r="B9" s="8" t="n"/>
      <c r="C9" s="8" t="n"/>
      <c r="D9" s="8" t="n"/>
      <c r="E9" s="8" t="n"/>
      <c r="F9" s="8" t="n"/>
      <c r="G9" s="8" t="n"/>
      <c r="H9" s="8" t="n"/>
      <c r="I9" s="8" t="n"/>
      <c r="J9" s="11" t="n"/>
      <c r="M9" s="19" t="n"/>
      <c r="N9" s="20" t="n"/>
      <c r="O9" s="0" t="n"/>
      <c r="P9" s="19" t="n"/>
      <c r="Q9" s="20" t="n"/>
      <c r="S9" s="19" t="n"/>
      <c r="T9" s="20" t="n"/>
    </row>
    <row r="10">
      <c r="A10" s="9" t="n"/>
      <c r="B10" s="10" t="inlineStr">
        <is>
          <t>监控表供水量</t>
        </is>
      </c>
      <c r="C10" s="8" t="n"/>
      <c r="D10" s="8" t="n"/>
      <c r="E10" s="8" t="n"/>
      <c r="F10" s="11" t="n"/>
      <c r="G10" s="10" t="inlineStr">
        <is>
          <t>损耗统计</t>
        </is>
      </c>
      <c r="H10" s="8" t="n"/>
      <c r="I10" s="8" t="n"/>
      <c r="J10" s="11" t="n"/>
      <c r="M10" s="19" t="n"/>
      <c r="N10" s="20" t="n"/>
      <c r="O10" s="0" t="n"/>
      <c r="P10" s="19" t="n"/>
      <c r="Q10" s="20" t="n"/>
      <c r="S10" s="19" t="n"/>
      <c r="T10" s="20" t="n"/>
    </row>
    <row r="11">
      <c r="A11" s="9" t="n"/>
      <c r="B11" s="10" t="inlineStr">
        <is>
          <t>荔新大道</t>
        </is>
      </c>
      <c r="C11" s="10" t="inlineStr">
        <is>
          <t>宁西总表（插入式）DN1200</t>
        </is>
      </c>
      <c r="D11" s="10" t="inlineStr">
        <is>
          <t>如丰大道</t>
        </is>
      </c>
      <c r="E11" s="10" t="inlineStr">
        <is>
          <t>新城大道医院NB</t>
        </is>
      </c>
      <c r="F11" s="10" t="inlineStr">
        <is>
          <t>三棵竹</t>
        </is>
      </c>
      <c r="G11" s="10" t="inlineStr">
        <is>
          <t>供水量</t>
        </is>
      </c>
      <c r="H11" s="10" t="inlineStr">
        <is>
          <t>售水量</t>
        </is>
      </c>
      <c r="I11" s="10" t="inlineStr">
        <is>
          <t>损耗水量</t>
        </is>
      </c>
      <c r="J11" s="10" t="inlineStr">
        <is>
          <t>水损耗（百分比）</t>
        </is>
      </c>
      <c r="M11" s="19" t="n"/>
      <c r="N11" s="20" t="n"/>
      <c r="O11" s="0" t="n"/>
      <c r="P11" s="19" t="n"/>
      <c r="Q11" s="20" t="n"/>
      <c r="S11" s="19" t="n"/>
      <c r="T11" s="20" t="n"/>
    </row>
    <row r="12">
      <c r="A12" s="12" t="inlineStr">
        <is>
          <t>１区</t>
        </is>
      </c>
      <c r="B12" s="10" t="n">
        <v>2611562</v>
      </c>
      <c r="C12" s="13" t="n">
        <v>2140549</v>
      </c>
      <c r="D12" s="13" t="n">
        <v>92714</v>
      </c>
      <c r="E12" s="13" t="n"/>
      <c r="F12" s="13" t="n"/>
      <c r="G12" s="13">
        <f>B12-C12-D12</f>
        <v/>
      </c>
      <c r="H12" s="13" t="n">
        <v>175104</v>
      </c>
      <c r="I12" s="13">
        <f>G12-H12</f>
        <v/>
      </c>
      <c r="J12" s="21">
        <f>I12/G12</f>
        <v/>
      </c>
      <c r="O12" s="0" t="n"/>
      <c r="P12" s="19" t="n"/>
      <c r="Q12" s="20" t="n"/>
      <c r="S12" s="0" t="n"/>
    </row>
    <row r="13">
      <c r="A13" s="12" t="inlineStr">
        <is>
          <t>２区</t>
        </is>
      </c>
      <c r="B13" s="13" t="n"/>
      <c r="C13" s="13" t="n"/>
      <c r="D13" s="13" t="n">
        <v>92714</v>
      </c>
      <c r="E13" s="13" t="n">
        <v>574890</v>
      </c>
      <c r="F13" s="13" t="n">
        <v>280209</v>
      </c>
      <c r="G13" s="13">
        <f>D13+E13-F13</f>
        <v/>
      </c>
      <c r="H13" s="13" t="n">
        <v>456938</v>
      </c>
      <c r="I13" s="13">
        <f>G13-H13</f>
        <v/>
      </c>
      <c r="J13" s="21">
        <f>I13/G13</f>
        <v/>
      </c>
      <c r="O13" s="0" t="n"/>
      <c r="P13" s="19" t="n"/>
      <c r="Q13" s="20" t="n"/>
      <c r="S13" s="0" t="n"/>
    </row>
    <row r="14">
      <c r="A14" s="12" t="inlineStr">
        <is>
          <t>３区</t>
        </is>
      </c>
      <c r="B14" s="13" t="n"/>
      <c r="C14" s="13" t="n"/>
      <c r="D14" s="13" t="n"/>
      <c r="E14" s="13" t="n"/>
      <c r="F14" s="13" t="n">
        <v>280209</v>
      </c>
      <c r="G14" s="13">
        <f>F14</f>
        <v/>
      </c>
      <c r="H14" s="13" t="n">
        <v>260128</v>
      </c>
      <c r="I14" s="13">
        <f>G14-H14</f>
        <v/>
      </c>
      <c r="J14" s="21">
        <f>I14/G14</f>
        <v/>
      </c>
    </row>
    <row r="15">
      <c r="A15" s="14" t="inlineStr">
        <is>
          <t>合计：</t>
        </is>
      </c>
      <c r="B15" s="8" t="n"/>
      <c r="C15" s="8" t="n"/>
      <c r="D15" s="8" t="n"/>
      <c r="E15" s="8" t="n"/>
      <c r="F15" s="11" t="n"/>
      <c r="G15" s="13">
        <f>SUM(G12:G14)</f>
        <v/>
      </c>
      <c r="H15" s="13">
        <f>SUM(H12:H14)</f>
        <v/>
      </c>
      <c r="I15" s="13">
        <f>G15-H15</f>
        <v/>
      </c>
      <c r="J15" s="21">
        <f>I15/G15</f>
        <v/>
      </c>
    </row>
    <row r="16">
      <c r="A16" s="7" t="n">
        <v>45717</v>
      </c>
      <c r="B16" s="8" t="n"/>
      <c r="C16" s="8" t="n"/>
      <c r="D16" s="8" t="n"/>
      <c r="E16" s="8" t="n"/>
      <c r="F16" s="8" t="n"/>
      <c r="G16" s="8" t="n"/>
      <c r="H16" s="8" t="n"/>
      <c r="I16" s="8" t="n"/>
      <c r="J16" s="11" t="n"/>
      <c r="M16" s="19" t="n"/>
      <c r="N16" s="20" t="n"/>
      <c r="O16" s="0" t="n"/>
      <c r="P16" s="19" t="n"/>
      <c r="Q16" s="20" t="n"/>
      <c r="S16" s="19" t="n"/>
      <c r="T16" s="20" t="n"/>
    </row>
    <row r="17">
      <c r="A17" s="9" t="n"/>
      <c r="B17" s="10" t="inlineStr">
        <is>
          <t>监控表供水量</t>
        </is>
      </c>
      <c r="C17" s="8" t="n"/>
      <c r="D17" s="8" t="n"/>
      <c r="E17" s="8" t="n"/>
      <c r="F17" s="11" t="n"/>
      <c r="G17" s="10" t="inlineStr">
        <is>
          <t>损耗统计</t>
        </is>
      </c>
      <c r="H17" s="8" t="n"/>
      <c r="I17" s="8" t="n"/>
      <c r="J17" s="11" t="n"/>
      <c r="M17" s="19" t="n"/>
      <c r="N17" s="20" t="n"/>
      <c r="O17" s="0" t="n"/>
      <c r="P17" s="19" t="n"/>
      <c r="Q17" s="20" t="n"/>
      <c r="S17" s="19" t="n"/>
      <c r="T17" s="20" t="n"/>
    </row>
    <row r="18">
      <c r="A18" s="9" t="n"/>
      <c r="B18" s="10" t="inlineStr">
        <is>
          <t>荔新大道</t>
        </is>
      </c>
      <c r="C18" s="10" t="inlineStr">
        <is>
          <t>宁西总表（插入式）DN1200</t>
        </is>
      </c>
      <c r="D18" s="10" t="inlineStr">
        <is>
          <t>如丰大道</t>
        </is>
      </c>
      <c r="E18" s="10" t="inlineStr">
        <is>
          <t>新城大道医院NB</t>
        </is>
      </c>
      <c r="F18" s="10" t="inlineStr">
        <is>
          <t>三棵竹</t>
        </is>
      </c>
      <c r="G18" s="10" t="inlineStr">
        <is>
          <t>供水量</t>
        </is>
      </c>
      <c r="H18" s="10" t="inlineStr">
        <is>
          <t>售水量</t>
        </is>
      </c>
      <c r="I18" s="10" t="inlineStr">
        <is>
          <t>损耗水量</t>
        </is>
      </c>
      <c r="J18" s="10" t="inlineStr">
        <is>
          <t>水损耗（百分比）</t>
        </is>
      </c>
      <c r="M18" s="19" t="n"/>
      <c r="N18" s="20" t="n"/>
      <c r="O18" s="0" t="n"/>
      <c r="P18" s="19" t="n"/>
      <c r="Q18" s="20" t="n"/>
      <c r="S18" s="19" t="n"/>
      <c r="T18" s="20" t="n"/>
    </row>
    <row r="19">
      <c r="A19" s="12" t="inlineStr">
        <is>
          <t>１区</t>
        </is>
      </c>
      <c r="B19" s="10" t="n">
        <v>3888850</v>
      </c>
      <c r="C19" s="13" t="n">
        <v>3209501</v>
      </c>
      <c r="D19" s="13" t="n">
        <v>165239</v>
      </c>
      <c r="E19" s="13" t="n"/>
      <c r="F19" s="13" t="n"/>
      <c r="G19" s="13">
        <f>B19-C19-D19</f>
        <v/>
      </c>
      <c r="H19" s="13" t="n">
        <v>200262</v>
      </c>
      <c r="I19" s="13">
        <f>G19-H19</f>
        <v/>
      </c>
      <c r="J19" s="21">
        <f>I19/G19</f>
        <v/>
      </c>
      <c r="O19" s="0" t="n"/>
      <c r="P19" s="19" t="n"/>
      <c r="Q19" s="20" t="n"/>
      <c r="S19" s="0" t="n"/>
    </row>
    <row r="20">
      <c r="A20" s="12" t="inlineStr">
        <is>
          <t>２区</t>
        </is>
      </c>
      <c r="B20" s="13" t="n"/>
      <c r="C20" s="13" t="n"/>
      <c r="D20" s="13" t="n">
        <v>165239</v>
      </c>
      <c r="E20" s="13" t="n">
        <v>520457</v>
      </c>
      <c r="F20" s="13" t="n">
        <v>254750</v>
      </c>
      <c r="G20" s="13">
        <f>D20+E20-F20</f>
        <v/>
      </c>
      <c r="H20" s="13" t="n">
        <v>483259</v>
      </c>
      <c r="I20" s="13">
        <f>G20-H20</f>
        <v/>
      </c>
      <c r="J20" s="21">
        <f>I20/G20</f>
        <v/>
      </c>
      <c r="O20" s="0" t="n"/>
      <c r="P20" s="19" t="n"/>
      <c r="Q20" s="20" t="n"/>
      <c r="S20" s="0" t="n"/>
    </row>
    <row r="21">
      <c r="A21" s="12" t="inlineStr">
        <is>
          <t>３区</t>
        </is>
      </c>
      <c r="B21" s="13" t="n"/>
      <c r="C21" s="13" t="n"/>
      <c r="D21" s="13" t="n"/>
      <c r="E21" s="13" t="n"/>
      <c r="F21" s="13" t="n">
        <v>254750</v>
      </c>
      <c r="G21" s="13">
        <f>F21</f>
        <v/>
      </c>
      <c r="H21" s="13" t="n">
        <v>219695</v>
      </c>
      <c r="I21" s="13">
        <f>G21-H21</f>
        <v/>
      </c>
      <c r="J21" s="21">
        <f>I21/G21</f>
        <v/>
      </c>
    </row>
    <row r="22">
      <c r="A22" s="14" t="inlineStr">
        <is>
          <t>合计：</t>
        </is>
      </c>
      <c r="B22" s="8" t="n"/>
      <c r="C22" s="8" t="n"/>
      <c r="D22" s="8" t="n"/>
      <c r="E22" s="8" t="n"/>
      <c r="F22" s="11" t="n"/>
      <c r="G22" s="13">
        <f>SUM(G19:G21)</f>
        <v/>
      </c>
      <c r="H22" s="13">
        <f>SUM(H19:H21)</f>
        <v/>
      </c>
      <c r="I22" s="13">
        <f>G22-H22</f>
        <v/>
      </c>
      <c r="J22" s="21">
        <f>I22/G22</f>
        <v/>
      </c>
    </row>
    <row r="23">
      <c r="A23" s="7" t="n">
        <v>45748</v>
      </c>
      <c r="B23" s="8" t="n"/>
      <c r="C23" s="8" t="n"/>
      <c r="D23" s="8" t="n"/>
      <c r="E23" s="8" t="n"/>
      <c r="F23" s="8" t="n"/>
      <c r="G23" s="8" t="n"/>
      <c r="H23" s="8" t="n"/>
      <c r="I23" s="8" t="n"/>
      <c r="J23" s="11" t="n"/>
      <c r="M23" s="19" t="n"/>
      <c r="N23" s="20" t="n"/>
      <c r="O23" s="0" t="n"/>
      <c r="P23" s="19" t="n"/>
      <c r="Q23" s="20" t="n"/>
      <c r="S23" s="19" t="n"/>
      <c r="T23" s="20" t="n"/>
    </row>
    <row r="24">
      <c r="A24" s="9" t="n"/>
      <c r="B24" s="10" t="inlineStr">
        <is>
          <t>监控表供水量</t>
        </is>
      </c>
      <c r="C24" s="8" t="n"/>
      <c r="D24" s="8" t="n"/>
      <c r="E24" s="8" t="n"/>
      <c r="F24" s="11" t="n"/>
      <c r="G24" s="10" t="inlineStr">
        <is>
          <t>损耗统计</t>
        </is>
      </c>
      <c r="H24" s="8" t="n"/>
      <c r="I24" s="8" t="n"/>
      <c r="J24" s="11" t="n"/>
      <c r="M24" s="19" t="n"/>
      <c r="N24" s="20" t="n"/>
      <c r="O24" s="0" t="n"/>
      <c r="P24" s="19" t="n"/>
      <c r="Q24" s="20" t="n"/>
      <c r="S24" s="19" t="n"/>
      <c r="T24" s="20" t="n"/>
    </row>
    <row r="25">
      <c r="A25" s="9" t="n"/>
      <c r="B25" s="10" t="inlineStr">
        <is>
          <t>荔新大道</t>
        </is>
      </c>
      <c r="C25" s="10" t="inlineStr">
        <is>
          <t>宁西总表（插入式）DN1200</t>
        </is>
      </c>
      <c r="D25" s="10" t="inlineStr">
        <is>
          <t>如丰大道</t>
        </is>
      </c>
      <c r="E25" s="10" t="inlineStr">
        <is>
          <t>新城大道医院NB</t>
        </is>
      </c>
      <c r="F25" s="10" t="inlineStr">
        <is>
          <t>三棵竹</t>
        </is>
      </c>
      <c r="G25" s="10" t="inlineStr">
        <is>
          <t>供水量</t>
        </is>
      </c>
      <c r="H25" s="10" t="inlineStr">
        <is>
          <t>售水量</t>
        </is>
      </c>
      <c r="I25" s="10" t="inlineStr">
        <is>
          <t>损耗水量</t>
        </is>
      </c>
      <c r="J25" s="10" t="inlineStr">
        <is>
          <t>水损耗（百分比）</t>
        </is>
      </c>
      <c r="M25" s="19" t="n"/>
      <c r="N25" s="20" t="n"/>
      <c r="O25" s="0" t="n"/>
      <c r="P25" s="19" t="n"/>
      <c r="Q25" s="20" t="n"/>
      <c r="S25" s="19" t="n"/>
      <c r="T25" s="20" t="n"/>
    </row>
    <row r="26">
      <c r="A26" s="12" t="inlineStr">
        <is>
          <t>１区</t>
        </is>
      </c>
      <c r="B26" s="13" t="n">
        <v>4535700</v>
      </c>
      <c r="C26" s="13" t="n">
        <v>3727121</v>
      </c>
      <c r="D26" s="13" t="n">
        <v>224316</v>
      </c>
      <c r="E26" s="13" t="n"/>
      <c r="F26" s="13" t="n"/>
      <c r="G26" s="13">
        <f>B26-C26-D26</f>
        <v/>
      </c>
      <c r="H26" s="13" t="n">
        <v>231704</v>
      </c>
      <c r="I26" s="13">
        <f>G26-H26</f>
        <v/>
      </c>
      <c r="J26" s="21">
        <f>I26/G26</f>
        <v/>
      </c>
      <c r="O26" s="0" t="n"/>
      <c r="P26" s="19" t="n"/>
      <c r="Q26" s="20" t="n"/>
      <c r="S26" s="0" t="n"/>
    </row>
    <row r="27">
      <c r="A27" s="12" t="inlineStr">
        <is>
          <t>２区</t>
        </is>
      </c>
      <c r="B27" s="13" t="n"/>
      <c r="C27" s="13" t="n"/>
      <c r="D27" s="13" t="n">
        <v>224316</v>
      </c>
      <c r="E27" s="13" t="n">
        <v>524848</v>
      </c>
      <c r="F27" s="13" t="n">
        <v>272594</v>
      </c>
      <c r="G27" s="13">
        <f>D27+E27-F27</f>
        <v/>
      </c>
      <c r="H27" s="13" t="n">
        <v>540112</v>
      </c>
      <c r="I27" s="13">
        <f>G27-H27</f>
        <v/>
      </c>
      <c r="J27" s="21">
        <f>I27/G27</f>
        <v/>
      </c>
      <c r="O27" s="0" t="n"/>
      <c r="P27" s="19" t="n"/>
      <c r="Q27" s="20" t="n"/>
      <c r="S27" s="0" t="n"/>
    </row>
    <row r="28">
      <c r="A28" s="12" t="inlineStr">
        <is>
          <t>３区</t>
        </is>
      </c>
      <c r="B28" s="13" t="n"/>
      <c r="C28" s="13" t="n"/>
      <c r="D28" s="13" t="n"/>
      <c r="E28" s="13" t="n"/>
      <c r="F28" s="13" t="n">
        <v>272594</v>
      </c>
      <c r="G28" s="13">
        <f>F28</f>
        <v/>
      </c>
      <c r="H28" s="13" t="n">
        <v>250374</v>
      </c>
      <c r="I28" s="13">
        <f>G28-H28</f>
        <v/>
      </c>
      <c r="J28" s="21">
        <f>I28/G28</f>
        <v/>
      </c>
    </row>
    <row r="29">
      <c r="A29" s="14" t="inlineStr">
        <is>
          <t>合计：</t>
        </is>
      </c>
      <c r="B29" s="8" t="n"/>
      <c r="C29" s="8" t="n"/>
      <c r="D29" s="8" t="n"/>
      <c r="E29" s="8" t="n"/>
      <c r="F29" s="11" t="n"/>
      <c r="G29" s="13">
        <f>SUM(G26:G28)</f>
        <v/>
      </c>
      <c r="H29" s="13">
        <f>SUM(H26:H28)</f>
        <v/>
      </c>
      <c r="I29" s="13">
        <f>G29-H29</f>
        <v/>
      </c>
      <c r="J29" s="21">
        <f>I29/G29</f>
        <v/>
      </c>
    </row>
    <row r="31">
      <c r="A31" s="15" t="inlineStr">
        <is>
          <t>2025年5月</t>
        </is>
      </c>
      <c r="B31" s="16" t="n"/>
      <c r="C31" s="16" t="n"/>
      <c r="D31" s="16" t="n"/>
      <c r="E31" s="16" t="n"/>
      <c r="F31" s="16" t="n"/>
      <c r="G31" s="16" t="n"/>
      <c r="H31" s="16" t="n"/>
      <c r="I31" s="16" t="n"/>
      <c r="J31" s="18" t="n"/>
    </row>
    <row r="32">
      <c r="A32" s="17" t="n"/>
      <c r="B32" s="15" t="inlineStr">
        <is>
          <t>监控表供水量</t>
        </is>
      </c>
      <c r="C32" s="16" t="n"/>
      <c r="D32" s="16" t="n"/>
      <c r="E32" s="16" t="n"/>
      <c r="F32" s="18" t="n"/>
      <c r="G32" s="15" t="inlineStr">
        <is>
          <t>损耗统计</t>
        </is>
      </c>
      <c r="H32" s="16" t="n"/>
      <c r="I32" s="16" t="n"/>
      <c r="J32" s="18" t="n"/>
    </row>
    <row r="33">
      <c r="A33" s="15" t="n"/>
      <c r="B33" s="15" t="inlineStr">
        <is>
          <t>荔新大道</t>
        </is>
      </c>
      <c r="C33" s="15" t="inlineStr">
        <is>
          <t>宁西总表（插入式）DN1200</t>
        </is>
      </c>
      <c r="D33" s="15" t="inlineStr">
        <is>
          <t>如丰大道</t>
        </is>
      </c>
      <c r="E33" s="15" t="inlineStr">
        <is>
          <t>新城大道医院NB</t>
        </is>
      </c>
      <c r="F33" s="15" t="inlineStr">
        <is>
          <t>三棵竹</t>
        </is>
      </c>
      <c r="G33" s="15" t="inlineStr">
        <is>
          <t>供水量</t>
        </is>
      </c>
      <c r="H33" s="15" t="inlineStr">
        <is>
          <t>售水量</t>
        </is>
      </c>
      <c r="I33" s="15" t="inlineStr">
        <is>
          <t>损耗水量</t>
        </is>
      </c>
      <c r="J33" s="15" t="inlineStr">
        <is>
          <t>水损耗（百分比）</t>
        </is>
      </c>
    </row>
    <row r="34">
      <c r="A34" s="15" t="inlineStr">
        <is>
          <t>1 区</t>
        </is>
      </c>
      <c r="B34" s="15" t="n">
        <v>4149832</v>
      </c>
      <c r="C34" s="15" t="n">
        <v>3378216</v>
      </c>
      <c r="D34" s="15" t="n">
        <v>236130</v>
      </c>
      <c r="E34" s="15" t="n">
        <v>0</v>
      </c>
      <c r="F34" s="15" t="n">
        <v>0</v>
      </c>
      <c r="G34" s="15">
        <f>B34-C34-D34</f>
        <v/>
      </c>
      <c r="H34" s="15" t="n">
        <v>234672</v>
      </c>
      <c r="I34" s="15">
        <f>G34-H34</f>
        <v/>
      </c>
      <c r="J34" s="22">
        <f>I34/G34</f>
        <v/>
      </c>
    </row>
    <row r="35">
      <c r="A35" s="15" t="inlineStr">
        <is>
          <t>2 区</t>
        </is>
      </c>
      <c r="B35" s="15" t="n">
        <v>0</v>
      </c>
      <c r="C35" s="15" t="n">
        <v>0</v>
      </c>
      <c r="D35" s="15" t="n">
        <v>236130</v>
      </c>
      <c r="E35" s="15" t="n">
        <v>485583</v>
      </c>
      <c r="F35" s="15" t="n">
        <v>250686</v>
      </c>
      <c r="G35" s="15">
        <f>D35+E35-F35</f>
        <v/>
      </c>
      <c r="H35" s="15" t="n">
        <v>123689</v>
      </c>
      <c r="I35" s="15">
        <f>G35-H35</f>
        <v/>
      </c>
      <c r="J35" s="22">
        <f>I35/G35</f>
        <v/>
      </c>
    </row>
    <row r="36">
      <c r="A36" s="15" t="inlineStr">
        <is>
          <t>3 区</t>
        </is>
      </c>
      <c r="B36" s="15" t="n">
        <v>0</v>
      </c>
      <c r="C36" s="15" t="n">
        <v>0</v>
      </c>
      <c r="D36" s="15" t="n">
        <v>0</v>
      </c>
      <c r="E36" s="15" t="n">
        <v>0</v>
      </c>
      <c r="F36" s="15" t="n">
        <v>250686</v>
      </c>
      <c r="G36" s="15">
        <f>F36</f>
        <v/>
      </c>
      <c r="H36" s="15" t="n">
        <v>467568</v>
      </c>
      <c r="I36" s="15">
        <f>G36-H36</f>
        <v/>
      </c>
      <c r="J36" s="22">
        <f>I36/G36</f>
        <v/>
      </c>
    </row>
    <row r="37">
      <c r="A37" s="15" t="n"/>
      <c r="B37" s="15" t="n"/>
      <c r="C37" s="15" t="n"/>
      <c r="D37" s="15" t="n"/>
      <c r="E37" s="15" t="n"/>
      <c r="F37" s="15" t="inlineStr">
        <is>
          <t>合计:</t>
        </is>
      </c>
      <c r="G37" s="15">
        <f>SUM(G34:G36)</f>
        <v/>
      </c>
      <c r="H37" s="15">
        <f>SUM(H34:H36)</f>
        <v/>
      </c>
      <c r="I37" s="15">
        <f>G37-H37</f>
        <v/>
      </c>
      <c r="J37" s="22">
        <f>I37/G37</f>
        <v/>
      </c>
    </row>
    <row r="39">
      <c r="A39" s="23" t="inlineStr">
        <is>
          <t>2025年6月</t>
        </is>
      </c>
      <c r="B39" s="26" t="n"/>
      <c r="C39" s="26" t="n"/>
      <c r="D39" s="26" t="n"/>
      <c r="E39" s="26" t="n"/>
      <c r="F39" s="26" t="n"/>
      <c r="G39" s="26" t="n"/>
      <c r="H39" s="26" t="n"/>
      <c r="I39" s="26" t="n"/>
      <c r="J39" s="27" t="n"/>
    </row>
    <row r="40">
      <c r="A40" s="24" t="n"/>
      <c r="B40" s="23" t="inlineStr">
        <is>
          <t>监控表供水量</t>
        </is>
      </c>
      <c r="C40" s="26" t="n"/>
      <c r="D40" s="26" t="n"/>
      <c r="E40" s="26" t="n"/>
      <c r="F40" s="27" t="n"/>
      <c r="G40" s="23" t="inlineStr">
        <is>
          <t>损耗统计</t>
        </is>
      </c>
      <c r="H40" s="26" t="n"/>
      <c r="I40" s="26" t="n"/>
      <c r="J40" s="27" t="n"/>
    </row>
    <row r="41">
      <c r="A41" s="23" t="n"/>
      <c r="B41" s="23" t="inlineStr">
        <is>
          <t>荔新大道</t>
        </is>
      </c>
      <c r="C41" s="23" t="inlineStr">
        <is>
          <t>宁西总表（插入式）DN1200</t>
        </is>
      </c>
      <c r="D41" s="23" t="inlineStr">
        <is>
          <t>如丰大道</t>
        </is>
      </c>
      <c r="E41" s="23" t="inlineStr">
        <is>
          <t>新城大道医院NB</t>
        </is>
      </c>
      <c r="F41" s="23" t="inlineStr">
        <is>
          <t>三棵竹</t>
        </is>
      </c>
      <c r="G41" s="23" t="inlineStr">
        <is>
          <t>供水量</t>
        </is>
      </c>
      <c r="H41" s="23" t="inlineStr">
        <is>
          <t>售水量</t>
        </is>
      </c>
      <c r="I41" s="23" t="inlineStr">
        <is>
          <t>损耗水量</t>
        </is>
      </c>
      <c r="J41" s="23" t="inlineStr">
        <is>
          <t>水损耗（百分比）</t>
        </is>
      </c>
    </row>
    <row r="42">
      <c r="A42" s="23" t="inlineStr">
        <is>
          <t>1 区</t>
        </is>
      </c>
      <c r="B42" s="23" t="n">
        <v>4320141</v>
      </c>
      <c r="C42" s="23" t="n">
        <v>3509609</v>
      </c>
      <c r="D42" s="23" t="n">
        <v>239639</v>
      </c>
      <c r="E42" s="23" t="n">
        <v>0</v>
      </c>
      <c r="F42" s="23" t="n">
        <v>0</v>
      </c>
      <c r="G42" s="23">
        <f>B42-C42-D42</f>
        <v/>
      </c>
      <c r="H42" s="23" t="n">
        <v>234621</v>
      </c>
      <c r="I42" s="23">
        <f>G42-H42</f>
        <v/>
      </c>
      <c r="J42" s="25">
        <f>I42/G42</f>
        <v/>
      </c>
    </row>
    <row r="43">
      <c r="A43" s="23" t="inlineStr">
        <is>
          <t>2 区</t>
        </is>
      </c>
      <c r="B43" s="23" t="n">
        <v>0</v>
      </c>
      <c r="C43" s="23" t="n">
        <v>0</v>
      </c>
      <c r="D43" s="23" t="n">
        <v>239639</v>
      </c>
      <c r="E43" s="23" t="n">
        <v>504610</v>
      </c>
      <c r="F43" s="23" t="n">
        <v>267837</v>
      </c>
      <c r="G43" s="23">
        <f>D43+E43-F43</f>
        <v/>
      </c>
      <c r="H43" s="23" t="n">
        <v>564672</v>
      </c>
      <c r="I43" s="23">
        <f>G43-H43</f>
        <v/>
      </c>
      <c r="J43" s="25">
        <f>I43/G43</f>
        <v/>
      </c>
    </row>
    <row r="44">
      <c r="A44" s="23" t="inlineStr">
        <is>
          <t>3 区</t>
        </is>
      </c>
      <c r="B44" s="23" t="n">
        <v>0</v>
      </c>
      <c r="C44" s="23" t="n">
        <v>0</v>
      </c>
      <c r="D44" s="23" t="n">
        <v>0</v>
      </c>
      <c r="E44" s="23" t="n">
        <v>0</v>
      </c>
      <c r="F44" s="23" t="n">
        <v>267837</v>
      </c>
      <c r="G44" s="23">
        <f>F44</f>
        <v/>
      </c>
      <c r="H44" s="23" t="n">
        <v>645623</v>
      </c>
      <c r="I44" s="23">
        <f>G44-H44</f>
        <v/>
      </c>
      <c r="J44" s="25">
        <f>I44/G44</f>
        <v/>
      </c>
    </row>
    <row r="45">
      <c r="A45" s="23" t="n"/>
      <c r="B45" s="23" t="n"/>
      <c r="C45" s="23" t="n"/>
      <c r="D45" s="23" t="n"/>
      <c r="E45" s="23" t="n"/>
      <c r="F45" s="23" t="inlineStr">
        <is>
          <t>合计:</t>
        </is>
      </c>
      <c r="G45" s="23">
        <f>SUM(G42:G44)</f>
        <v/>
      </c>
      <c r="H45" s="23">
        <f>SUM(H42:H44)</f>
        <v/>
      </c>
      <c r="I45" s="23">
        <f>G45-H45</f>
        <v/>
      </c>
      <c r="J45" s="25">
        <f>I45/G45</f>
        <v/>
      </c>
    </row>
    <row r="47">
      <c r="A47" s="23" t="inlineStr">
        <is>
          <t>2025年7月</t>
        </is>
      </c>
      <c r="B47" s="26" t="n"/>
      <c r="C47" s="26" t="n"/>
      <c r="D47" s="26" t="n"/>
      <c r="E47" s="26" t="n"/>
      <c r="F47" s="26" t="n"/>
      <c r="G47" s="26" t="n"/>
      <c r="H47" s="26" t="n"/>
      <c r="I47" s="26" t="n"/>
      <c r="J47" s="27" t="n"/>
    </row>
    <row r="48">
      <c r="A48" s="24" t="n"/>
      <c r="B48" s="23" t="inlineStr">
        <is>
          <t>监控表供水量</t>
        </is>
      </c>
      <c r="C48" s="26" t="n"/>
      <c r="D48" s="26" t="n"/>
      <c r="E48" s="26" t="n"/>
      <c r="F48" s="27" t="n"/>
      <c r="G48" s="23" t="inlineStr">
        <is>
          <t>损耗统计</t>
        </is>
      </c>
      <c r="H48" s="26" t="n"/>
      <c r="I48" s="26" t="n"/>
      <c r="J48" s="27" t="n"/>
    </row>
    <row r="49">
      <c r="A49" s="23" t="n"/>
      <c r="B49" s="23" t="inlineStr">
        <is>
          <t>荔新大道</t>
        </is>
      </c>
      <c r="C49" s="23" t="inlineStr">
        <is>
          <t>宁西总表（插入式）DN1200</t>
        </is>
      </c>
      <c r="D49" s="23" t="inlineStr">
        <is>
          <t>如丰大道</t>
        </is>
      </c>
      <c r="E49" s="23" t="inlineStr">
        <is>
          <t>新城大道医院NB</t>
        </is>
      </c>
      <c r="F49" s="23" t="inlineStr">
        <is>
          <t>三棵竹</t>
        </is>
      </c>
      <c r="G49" s="23" t="inlineStr">
        <is>
          <t>供水量</t>
        </is>
      </c>
      <c r="H49" s="23" t="inlineStr">
        <is>
          <t>售水量</t>
        </is>
      </c>
      <c r="I49" s="23" t="inlineStr">
        <is>
          <t>损耗水量</t>
        </is>
      </c>
      <c r="J49" s="23" t="inlineStr">
        <is>
          <t>水损耗（百分比）</t>
        </is>
      </c>
    </row>
    <row r="50">
      <c r="A50" s="23" t="inlineStr">
        <is>
          <t>1 区</t>
        </is>
      </c>
      <c r="B50" s="23" t="n">
        <v>4124176</v>
      </c>
      <c r="C50" s="23" t="n">
        <v>3376597</v>
      </c>
      <c r="D50" s="23" t="n">
        <v>219419</v>
      </c>
      <c r="E50" s="23" t="n">
        <v>0</v>
      </c>
      <c r="F50" s="23" t="n">
        <v>0</v>
      </c>
      <c r="G50" s="23">
        <f>B50-C50-D50</f>
        <v/>
      </c>
      <c r="H50" s="23" t="n">
        <v>234235</v>
      </c>
      <c r="I50" s="23">
        <f>G50-H50</f>
        <v/>
      </c>
      <c r="J50" s="25">
        <f>I50/G50</f>
        <v/>
      </c>
    </row>
    <row r="51">
      <c r="A51" s="23" t="inlineStr">
        <is>
          <t>2 区</t>
        </is>
      </c>
      <c r="B51" s="23" t="n">
        <v>0</v>
      </c>
      <c r="C51" s="23" t="n">
        <v>0</v>
      </c>
      <c r="D51" s="23" t="n">
        <v>219419</v>
      </c>
      <c r="E51" s="23" t="n">
        <v>511752</v>
      </c>
      <c r="F51" s="23" t="n">
        <v>262839</v>
      </c>
      <c r="G51" s="23">
        <f>D51+E51-F51</f>
        <v/>
      </c>
      <c r="H51" s="23" t="n">
        <v>786964</v>
      </c>
      <c r="I51" s="23">
        <f>G51-H51</f>
        <v/>
      </c>
      <c r="J51" s="25">
        <f>I51/G51</f>
        <v/>
      </c>
    </row>
    <row r="52">
      <c r="A52" s="23" t="inlineStr">
        <is>
          <t>3 区</t>
        </is>
      </c>
      <c r="B52" s="23" t="n">
        <v>0</v>
      </c>
      <c r="C52" s="23" t="n">
        <v>0</v>
      </c>
      <c r="D52" s="23" t="n">
        <v>0</v>
      </c>
      <c r="E52" s="23" t="n">
        <v>0</v>
      </c>
      <c r="F52" s="23" t="n">
        <v>262839</v>
      </c>
      <c r="G52" s="23">
        <f>F52</f>
        <v/>
      </c>
      <c r="H52" s="23" t="n">
        <v>797893</v>
      </c>
      <c r="I52" s="23">
        <f>G52-H52</f>
        <v/>
      </c>
      <c r="J52" s="25">
        <f>I52/G52</f>
        <v/>
      </c>
    </row>
    <row r="53">
      <c r="A53" s="23" t="n"/>
      <c r="B53" s="23" t="n"/>
      <c r="C53" s="23" t="n"/>
      <c r="D53" s="23" t="n"/>
      <c r="E53" s="23" t="n"/>
      <c r="F53" s="23" t="inlineStr">
        <is>
          <t>合计:</t>
        </is>
      </c>
      <c r="G53" s="23">
        <f>SUM(G50:G52)</f>
        <v/>
      </c>
      <c r="H53" s="23">
        <f>SUM(H50:H52)</f>
        <v/>
      </c>
      <c r="I53" s="23">
        <f>G53-H53</f>
        <v/>
      </c>
      <c r="J53" s="25">
        <f>I53/G53</f>
        <v/>
      </c>
    </row>
    <row r="54"/>
    <row r="55">
      <c r="A55" s="23" t="inlineStr">
        <is>
          <t>2025年8月</t>
        </is>
      </c>
      <c r="B55" s="26" t="n"/>
      <c r="C55" s="26" t="n"/>
      <c r="D55" s="26" t="n"/>
      <c r="E55" s="26" t="n"/>
      <c r="F55" s="26" t="n"/>
      <c r="G55" s="26" t="n"/>
      <c r="H55" s="26" t="n"/>
      <c r="I55" s="26" t="n"/>
      <c r="J55" s="27" t="n"/>
    </row>
    <row r="56">
      <c r="A56" s="24" t="n"/>
      <c r="B56" s="23" t="inlineStr">
        <is>
          <t>监控表供水量</t>
        </is>
      </c>
      <c r="C56" s="26" t="n"/>
      <c r="D56" s="26" t="n"/>
      <c r="E56" s="26" t="n"/>
      <c r="F56" s="27" t="n"/>
      <c r="G56" s="23" t="inlineStr">
        <is>
          <t>损耗统计</t>
        </is>
      </c>
      <c r="H56" s="26" t="n"/>
      <c r="I56" s="26" t="n"/>
      <c r="J56" s="27" t="n"/>
    </row>
    <row r="57">
      <c r="A57" s="23" t="n"/>
      <c r="B57" s="23" t="inlineStr">
        <is>
          <t>荔新大道</t>
        </is>
      </c>
      <c r="C57" s="23" t="inlineStr">
        <is>
          <t>宁西总表（插入式）DN1200</t>
        </is>
      </c>
      <c r="D57" s="23" t="inlineStr">
        <is>
          <t>如丰大道</t>
        </is>
      </c>
      <c r="E57" s="23" t="inlineStr">
        <is>
          <t>新城大道医院NB</t>
        </is>
      </c>
      <c r="F57" s="23" t="inlineStr">
        <is>
          <t>三棵竹</t>
        </is>
      </c>
      <c r="G57" s="23" t="inlineStr">
        <is>
          <t>供水量</t>
        </is>
      </c>
      <c r="H57" s="23" t="inlineStr">
        <is>
          <t>售水量</t>
        </is>
      </c>
      <c r="I57" s="23" t="inlineStr">
        <is>
          <t>损耗水量</t>
        </is>
      </c>
      <c r="J57" s="23" t="inlineStr">
        <is>
          <t>水损耗（百分比）</t>
        </is>
      </c>
    </row>
    <row r="58">
      <c r="A58" s="23" t="inlineStr">
        <is>
          <t>1 区</t>
        </is>
      </c>
      <c r="B58" s="23" t="n">
        <v>4093947</v>
      </c>
      <c r="C58" s="23" t="n">
        <v>3393521</v>
      </c>
      <c r="D58" s="23" t="n">
        <v>203033</v>
      </c>
      <c r="E58" s="23" t="n">
        <v>0</v>
      </c>
      <c r="F58" s="23" t="n">
        <v>0</v>
      </c>
      <c r="G58" s="23">
        <f>B58-C58-D58</f>
        <v/>
      </c>
      <c r="H58" s="23" t="n">
        <v>435362</v>
      </c>
      <c r="I58" s="23">
        <f>G58-H58</f>
        <v/>
      </c>
      <c r="J58" s="25">
        <f>I58/G58</f>
        <v/>
      </c>
    </row>
    <row r="59">
      <c r="A59" s="23" t="inlineStr">
        <is>
          <t>2 区</t>
        </is>
      </c>
      <c r="B59" s="23" t="n">
        <v>0</v>
      </c>
      <c r="C59" s="23" t="n">
        <v>0</v>
      </c>
      <c r="D59" s="23" t="n">
        <v>203033</v>
      </c>
      <c r="E59" s="23" t="n">
        <v>525543</v>
      </c>
      <c r="F59" s="23" t="n">
        <v>289509</v>
      </c>
      <c r="G59" s="23">
        <f>D59+E59-F59</f>
        <v/>
      </c>
      <c r="H59" s="23" t="n">
        <v>678780</v>
      </c>
      <c r="I59" s="23">
        <f>G59-H59</f>
        <v/>
      </c>
      <c r="J59" s="25">
        <f>I59/G59</f>
        <v/>
      </c>
    </row>
    <row r="60">
      <c r="A60" s="23" t="inlineStr">
        <is>
          <t>3 区</t>
        </is>
      </c>
      <c r="B60" s="23" t="n">
        <v>0</v>
      </c>
      <c r="C60" s="23" t="n">
        <v>0</v>
      </c>
      <c r="D60" s="23" t="n">
        <v>0</v>
      </c>
      <c r="E60" s="23" t="n">
        <v>0</v>
      </c>
      <c r="F60" s="23" t="n">
        <v>289509</v>
      </c>
      <c r="G60" s="23">
        <f>F60</f>
        <v/>
      </c>
      <c r="H60" s="23" t="n">
        <v>242345</v>
      </c>
      <c r="I60" s="23">
        <f>G60-H60</f>
        <v/>
      </c>
      <c r="J60" s="25">
        <f>I60/G60</f>
        <v/>
      </c>
    </row>
    <row r="61">
      <c r="A61" s="23" t="n"/>
      <c r="B61" s="23" t="n"/>
      <c r="C61" s="23" t="n"/>
      <c r="D61" s="23" t="n"/>
      <c r="E61" s="23" t="n"/>
      <c r="F61" s="23" t="inlineStr">
        <is>
          <t>合计:</t>
        </is>
      </c>
      <c r="G61" s="23">
        <f>SUM(G58:G60)</f>
        <v/>
      </c>
      <c r="H61" s="23">
        <f>SUM(H58:H60)</f>
        <v/>
      </c>
      <c r="I61" s="23">
        <f>G61-H61</f>
        <v/>
      </c>
      <c r="J61" s="25">
        <f>I61/G61</f>
        <v/>
      </c>
    </row>
    <row r="62"/>
    <row r="63">
      <c r="A63" s="23" t="inlineStr">
        <is>
          <t>2025年9月</t>
        </is>
      </c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</row>
    <row r="64">
      <c r="A64" s="24" t="n"/>
      <c r="B64" s="23" t="inlineStr">
        <is>
          <t>监控表供水量</t>
        </is>
      </c>
      <c r="C64" s="24" t="n"/>
      <c r="D64" s="24" t="n"/>
      <c r="E64" s="24" t="n"/>
      <c r="F64" s="24" t="n"/>
      <c r="G64" s="23" t="inlineStr">
        <is>
          <t>损耗统计</t>
        </is>
      </c>
      <c r="H64" s="24" t="n"/>
      <c r="I64" s="24" t="n"/>
      <c r="J64" s="24" t="n"/>
    </row>
    <row r="65">
      <c r="A65" s="23" t="n"/>
      <c r="B65" s="23" t="inlineStr">
        <is>
          <t>荔新大道</t>
        </is>
      </c>
      <c r="C65" s="23" t="inlineStr">
        <is>
          <t>宁西总表（插入式）DN1200</t>
        </is>
      </c>
      <c r="D65" s="23" t="inlineStr">
        <is>
          <t>如丰大道</t>
        </is>
      </c>
      <c r="E65" s="23" t="inlineStr">
        <is>
          <t>新城大道医院NB</t>
        </is>
      </c>
      <c r="F65" s="23" t="inlineStr">
        <is>
          <t>三棵竹</t>
        </is>
      </c>
      <c r="G65" s="23" t="inlineStr">
        <is>
          <t>供水量</t>
        </is>
      </c>
      <c r="H65" s="23" t="inlineStr">
        <is>
          <t>售水量</t>
        </is>
      </c>
      <c r="I65" s="23" t="inlineStr">
        <is>
          <t>损耗水量</t>
        </is>
      </c>
      <c r="J65" s="23" t="inlineStr">
        <is>
          <t>水损耗（百分比）</t>
        </is>
      </c>
    </row>
    <row r="66">
      <c r="A66" s="23" t="inlineStr">
        <is>
          <t>1 区</t>
        </is>
      </c>
      <c r="B66" s="23" t="n">
        <v>4264205</v>
      </c>
      <c r="C66" s="23" t="n">
        <v>3457264</v>
      </c>
      <c r="D66" s="23" t="n">
        <v>253250</v>
      </c>
      <c r="E66" s="23" t="n">
        <v>0</v>
      </c>
      <c r="F66" s="23" t="n">
        <v>0</v>
      </c>
      <c r="G66" s="23">
        <f>B66-C66-D66</f>
        <v/>
      </c>
      <c r="H66" s="23" t="n">
        <v>345345</v>
      </c>
      <c r="I66" s="23">
        <f>G66-H66</f>
        <v/>
      </c>
      <c r="J66" s="25">
        <f>I66/G66</f>
        <v/>
      </c>
    </row>
    <row r="67">
      <c r="A67" s="23" t="inlineStr">
        <is>
          <t>2 区</t>
        </is>
      </c>
      <c r="B67" s="23" t="n">
        <v>0</v>
      </c>
      <c r="C67" s="23" t="n">
        <v>0</v>
      </c>
      <c r="D67" s="23" t="n">
        <v>253250</v>
      </c>
      <c r="E67" s="23" t="n">
        <v>505577</v>
      </c>
      <c r="F67" s="23" t="n">
        <v>265859</v>
      </c>
      <c r="G67" s="23">
        <f>D67+E67-F67</f>
        <v/>
      </c>
      <c r="H67" s="23" t="n">
        <v>798789</v>
      </c>
      <c r="I67" s="23">
        <f>G67-H67</f>
        <v/>
      </c>
      <c r="J67" s="25">
        <f>I67/G67</f>
        <v/>
      </c>
    </row>
    <row r="68">
      <c r="A68" s="23" t="inlineStr">
        <is>
          <t>3 区</t>
        </is>
      </c>
      <c r="B68" s="23" t="n">
        <v>0</v>
      </c>
      <c r="C68" s="23" t="n">
        <v>0</v>
      </c>
      <c r="D68" s="23" t="n">
        <v>0</v>
      </c>
      <c r="E68" s="23" t="n">
        <v>0</v>
      </c>
      <c r="F68" s="23" t="n">
        <v>265859</v>
      </c>
      <c r="G68" s="23">
        <f>F68</f>
        <v/>
      </c>
      <c r="H68" s="23" t="n">
        <v>676567</v>
      </c>
      <c r="I68" s="23">
        <f>G68-H68</f>
        <v/>
      </c>
      <c r="J68" s="25">
        <f>I68/G68</f>
        <v/>
      </c>
    </row>
    <row r="69">
      <c r="A69" s="23" t="n"/>
      <c r="B69" s="23" t="n"/>
      <c r="C69" s="23" t="n"/>
      <c r="D69" s="23" t="n"/>
      <c r="E69" s="23" t="n"/>
      <c r="F69" s="23" t="inlineStr">
        <is>
          <t>合计:</t>
        </is>
      </c>
      <c r="G69" s="23">
        <f>SUM(G66:G68)</f>
        <v/>
      </c>
      <c r="H69" s="23">
        <f>SUM(H66:H68)</f>
        <v/>
      </c>
      <c r="I69" s="23">
        <f>G69-H69</f>
        <v/>
      </c>
      <c r="J69" s="25">
        <f>I69/G69</f>
        <v/>
      </c>
    </row>
  </sheetData>
  <mergeCells count="29">
    <mergeCell ref="A47:J47"/>
    <mergeCell ref="A23:J23"/>
    <mergeCell ref="B7:F7"/>
    <mergeCell ref="G64:J64"/>
    <mergeCell ref="B56:F56"/>
    <mergeCell ref="G32:J32"/>
    <mergeCell ref="A63:J63"/>
    <mergeCell ref="G40:J40"/>
    <mergeCell ref="A31:J31"/>
    <mergeCell ref="B48:F48"/>
    <mergeCell ref="G56:J56"/>
    <mergeCell ref="A9:J9"/>
    <mergeCell ref="A39:J39"/>
    <mergeCell ref="A22:F22"/>
    <mergeCell ref="B17:F17"/>
    <mergeCell ref="A29:F29"/>
    <mergeCell ref="A1:J1"/>
    <mergeCell ref="G48:J48"/>
    <mergeCell ref="G17:J17"/>
    <mergeCell ref="B10:F10"/>
    <mergeCell ref="A16:J16"/>
    <mergeCell ref="B40:F40"/>
    <mergeCell ref="A15:F15"/>
    <mergeCell ref="G10:J10"/>
    <mergeCell ref="B24:F24"/>
    <mergeCell ref="B64:F64"/>
    <mergeCell ref="A55:J55"/>
    <mergeCell ref="G24:J24"/>
    <mergeCell ref="B32:F32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2025-02-28T02:13:00Z</dcterms:created>
  <dcterms:modified xsi:type="dcterms:W3CDTF">2025-10-26T08:04:42Z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074833ADF8CF4B12BF2AD9C2AE91D2A8_12</vt:lpwstr>
  </property>
  <property name="KSOProductBuildVer" fmtid="{D5CDD505-2E9C-101B-9397-08002B2CF9AE}" pid="3">
    <vt:lpwstr>2052-12.1.0.23125</vt:lpwstr>
  </property>
</Properties>
</file>