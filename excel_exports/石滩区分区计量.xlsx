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石滩区" sheetId="1" r:id="rId1"/>
  </sheet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<sst xmlns="http://schemas.openxmlformats.org/spreadsheetml/2006/main" count="69" uniqueCount="28">
  <si>
    <t>石滩分区计量统计</t>
  </si>
  <si>
    <t>抄表时间</t>
  </si>
  <si>
    <t>每月21日至27日</t>
  </si>
  <si>
    <t>流量计取值时间</t>
  </si>
  <si>
    <t>上月25日至当月24日</t>
  </si>
  <si>
    <t>１区月供水量＝荔新大道ＤＮ1200流量计月供水量（旧）－宁西总表ＤＮ1200流量计月供水量－如丰大道ＤＮ600流量计月供水量</t>
  </si>
  <si>
    <t>２区月供水量＝如丰大道ＤＮ600流量计月供水量+新城大道医院NBＤＮ800流量计月供水量－三棵竹ＤＮ600流量计月供水量</t>
  </si>
  <si>
    <t>３区月供水量＝三棵竹ＤＮ600流量计月供水量</t>
  </si>
  <si>
    <t>监控表供水量</t>
  </si>
  <si>
    <t>损耗统计</t>
  </si>
  <si>
    <t>荔新大道</t>
  </si>
  <si>
    <t>宁西总表（插入式）DN1200</t>
  </si>
  <si>
    <t>如丰大道</t>
  </si>
  <si>
    <t>新城大道医院NB</t>
  </si>
  <si>
    <t>三棵竹</t>
  </si>
  <si>
    <t>供水量</t>
  </si>
  <si>
    <t>售水量</t>
  </si>
  <si>
    <t>损耗水量</t>
  </si>
  <si>
    <t>水损耗（百分比）</t>
  </si>
  <si>
    <t>１区</t>
  </si>
  <si>
    <t>２区</t>
  </si>
  <si>
    <t>３区</t>
  </si>
  <si>
    <t>合计：</t>
  </si>
  <si>
    <t>2025年5月</t>
  </si>
  <si>
    <t>1 区</t>
  </si>
  <si>
    <t>2 区</t>
  </si>
  <si>
    <t>3 区</t>
  </si>
  <si>
    <t>合计: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</si>
</sst>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Arial"/>
      <charset val="134"/>
    </font>
    <font>
      <sz val="20"/>
      <name val="宋体"/>
      <charset val="134"/>
    </font>
    <font>
      <sz val="10"/>
      <name val="宋体"/>
      <charset val="134"/>
    </font>
    <font>
      <sz val="9"/>
      <color rgb="FF000000"/>
      <name val="Tahoma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2" borderId="7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8">
      <alignment vertical="center"/>
    </xf>
    <xf numFmtId="0" fontId="11" fillId="0" borderId="8">
      <alignment vertical="center"/>
    </xf>
    <xf numFmtId="0" fontId="12" fillId="0" borderId="9">
      <alignment vertical="center"/>
    </xf>
    <xf numFmtId="0" fontId="12" fillId="0" borderId="0">
      <alignment vertical="center"/>
    </xf>
    <xf numFmtId="0" fontId="13" fillId="3" borderId="10">
      <alignment vertical="center"/>
    </xf>
    <xf numFmtId="0" fontId="14" fillId="4" borderId="11">
      <alignment vertical="center"/>
    </xf>
    <xf numFmtId="0" fontId="15" fillId="4" borderId="10">
      <alignment vertical="center"/>
    </xf>
    <xf numFmtId="0" fontId="16" fillId="5" borderId="12">
      <alignment vertical="center"/>
    </xf>
    <xf numFmtId="0" fontId="17" fillId="0" borderId="13">
      <alignment vertical="center"/>
    </xf>
    <xf numFmtId="0" fontId="18" fillId="0" borderId="14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23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0" xfId="0" applyAlignment="1">
      <alignment vertical="center"/>
    </xf>
    <xf numFmtId="58" fontId="2" fillId="0" borderId="0" xfId="0" applyNumberFormat="1" applyAlignment="1">
      <alignment vertical="center"/>
    </xf>
    <xf numFmtId="0" fontId="2" fillId="0" borderId="0" xfId="0" applyAlignment="1">
      <alignment horizontal="left" vertical="center"/>
    </xf>
    <xf numFmtId="57" fontId="0" fillId="0" borderId="1" xfId="0" applyNumberFormat="1" applyBorder="1" applyAlignment="1">
      <alignment horizontal="center" vertical="center"/>
    </xf>
    <xf numFmtId="0" fontId="0" fillId="0" borderId="2" xfId="0" applyBorder="1" applyAlignment="1"/>
    <xf numFmtId="0" fontId="0" fillId="0" borderId="1" xfId="0" applyBorder="1" applyAlignment="1">
      <alignment vertical="center"/>
    </xf>
    <xf numFmtId="0" fontId="2" fillId="0" borderId="1" xfId="0" applyBorder="1" applyAlignment="1">
      <alignment horizontal="center" vertical="center"/>
    </xf>
    <xf numFmtId="0" fontId="0" fillId="0" borderId="3" xfId="0" applyBorder="1" applyAlignment="1"/>
    <xf numFmtId="0" fontId="2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/>
    <xf numFmtId="0" fontId="0" fillId="0" borderId="4" xfId="0" applyBorder="1" applyAlignment="1"/>
    <xf numFmtId="0" fontId="0" fillId="0" borderId="6" xfId="0" applyBorder="1" applyAlignment="1"/>
    <xf numFmtId="22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10" fontId="0" fillId="0" borderId="1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115" zoomScaleNormal="115" topLeftCell="A20" workbookViewId="0">
      <selection activeCell="A77" sqref="$A39:$XFD77"/>
    </sheetView>
  </sheetViews>
  <sheetFormatPr defaultColWidth="9" defaultRowHeight="12.75"/>
  <cols>
    <col min="1" max="1" width="5.28318584070797" style="1" customWidth="1"/>
    <col min="2" max="2" width="13.283185840708" style="1" customWidth="1"/>
    <col min="3" max="3" width="21.4955752212389" style="1" customWidth="1"/>
    <col min="4" max="4" width="14.858407079646" style="2" customWidth="1"/>
    <col min="5" max="5" width="18" style="1" customWidth="1"/>
    <col min="6" max="6" width="18.3805309734513" style="1" customWidth="1"/>
    <col min="7" max="7" width="13" style="1" customWidth="1"/>
    <col min="8" max="8" width="14.4247787610619" style="1" customWidth="1"/>
    <col min="9" max="9" width="14.5309734513274" style="1" customWidth="1"/>
    <col min="10" max="10" width="17.8761061946903" style="1" customWidth="1"/>
    <col min="15" max="15" width="11.716814159292" style="1" customWidth="1"/>
    <col min="19" max="19" width="13.1592920353982" style="1" customWidth="1"/>
  </cols>
  <sheetData>
    <row r="1" ht="46" customHeight="1" spans="1:20">
      <c r="A1" s="3" t="s">
        <v>0</v>
      </c>
      <c r="M1" s="19"/>
      <c r="N1" s="20"/>
      <c r="O1"/>
      <c r="P1" s="19"/>
      <c r="Q1" s="20"/>
      <c r="S1" s="19"/>
      <c r="T1" s="20"/>
    </row>
    <row r="2" spans="10:20">
      <c r="J2"/>
      <c r="M2" s="19"/>
      <c r="N2" s="20"/>
      <c r="O2"/>
      <c r="P2" s="19"/>
      <c r="Q2" s="20"/>
      <c r="S2" s="19"/>
      <c r="T2" s="20"/>
    </row>
    <row r="3" spans="2:20">
      <c r="B3" s="4" t="s">
        <v>1</v>
      </c>
      <c r="C3" s="5" t="s">
        <v>2</v>
      </c>
      <c r="J3"/>
      <c r="M3" s="19"/>
      <c r="N3" s="20"/>
      <c r="O3"/>
      <c r="P3" s="19"/>
      <c r="Q3" s="20"/>
      <c r="S3" s="19"/>
      <c r="T3" s="20"/>
    </row>
    <row r="4" spans="2:20">
      <c r="B4" s="4" t="s">
        <v>3</v>
      </c>
      <c r="C4" s="5" t="s">
        <v>4</v>
      </c>
      <c r="J4"/>
      <c r="M4" s="19"/>
      <c r="N4" s="20"/>
      <c r="O4"/>
      <c r="P4" s="19"/>
      <c r="Q4" s="20"/>
      <c r="S4" s="19"/>
      <c r="T4" s="20"/>
    </row>
    <row r="5" ht="25.5" customHeight="1" spans="2:8">
      <c r="B5" s="4" t="s">
        <v>5</v>
      </c>
      <c r="C5" s="4"/>
      <c r="D5" s="4"/>
      <c r="E5" s="4"/>
      <c r="F5" s="4"/>
      <c r="G5" s="4"/>
      <c r="H5"/>
    </row>
    <row r="6" ht="26.25" customHeight="1" spans="2:8">
      <c r="B6" s="4" t="s">
        <v>6</v>
      </c>
      <c r="C6" s="4"/>
      <c r="D6" s="4"/>
      <c r="E6" s="4"/>
      <c r="F6" s="4"/>
      <c r="G6" s="4"/>
      <c r="H6"/>
    </row>
    <row r="7" ht="27" customHeight="1" spans="2:2">
      <c r="B7" s="6" t="s">
        <v>7</v>
      </c>
    </row>
    <row r="8" spans="2:20">
      <c r="B8" s="4"/>
      <c r="C8" s="5"/>
      <c r="J8"/>
      <c r="M8" s="19"/>
      <c r="N8" s="20"/>
      <c r="O8"/>
      <c r="P8" s="19"/>
      <c r="Q8" s="20"/>
      <c r="S8" s="19"/>
      <c r="T8" s="20"/>
    </row>
    <row r="9" spans="1:20">
      <c r="A9" s="7">
        <v>45689</v>
      </c>
      <c r="B9" s="8"/>
      <c r="C9" s="8"/>
      <c r="D9" s="8"/>
      <c r="E9" s="8"/>
      <c r="F9" s="8"/>
      <c r="G9" s="8"/>
      <c r="H9" s="8"/>
      <c r="I9" s="8"/>
      <c r="J9" s="11"/>
      <c r="M9" s="19"/>
      <c r="N9" s="20"/>
      <c r="O9"/>
      <c r="P9" s="19"/>
      <c r="Q9" s="20"/>
      <c r="S9" s="19"/>
      <c r="T9" s="20"/>
    </row>
    <row r="10" spans="1:20">
      <c r="A10" s="9"/>
      <c r="B10" s="10" t="s">
        <v>8</v>
      </c>
      <c r="C10" s="8"/>
      <c r="D10" s="8"/>
      <c r="E10" s="8"/>
      <c r="F10" s="11"/>
      <c r="G10" s="10" t="s">
        <v>9</v>
      </c>
      <c r="H10" s="8"/>
      <c r="I10" s="8"/>
      <c r="J10" s="11"/>
      <c r="M10" s="19"/>
      <c r="N10" s="20"/>
      <c r="O10"/>
      <c r="P10" s="19"/>
      <c r="Q10" s="20"/>
      <c r="S10" s="19"/>
      <c r="T10" s="20"/>
    </row>
    <row r="11" spans="1:20">
      <c r="A11" s="9"/>
      <c r="B11" s="10" t="s">
        <v>10</v>
      </c>
      <c r="C11" s="10" t="s">
        <v>11</v>
      </c>
      <c r="D11" s="10" t="s">
        <v>12</v>
      </c>
      <c r="E11" s="10" t="s">
        <v>13</v>
      </c>
      <c r="F11" s="10" t="s">
        <v>14</v>
      </c>
      <c r="G11" s="10" t="s">
        <v>15</v>
      </c>
      <c r="H11" s="10" t="s">
        <v>16</v>
      </c>
      <c r="I11" s="10" t="s">
        <v>17</v>
      </c>
      <c r="J11" s="10" t="s">
        <v>18</v>
      </c>
      <c r="M11" s="19"/>
      <c r="N11" s="20"/>
      <c r="O11"/>
      <c r="P11" s="19"/>
      <c r="Q11" s="20"/>
      <c r="S11" s="19"/>
      <c r="T11" s="20"/>
    </row>
    <row r="12" spans="1:19">
      <c r="A12" s="12" t="s">
        <v>19</v>
      </c>
      <c r="B12" s="10">
        <v>2611562</v>
      </c>
      <c r="C12" s="13">
        <v>2140549</v>
      </c>
      <c r="D12" s="13">
        <v>92714</v>
      </c>
      <c r="E12" s="13"/>
      <c r="F12" s="13"/>
      <c r="G12" s="13">
        <f>B12-C12-D12</f>
        <v>378299</v>
      </c>
      <c r="H12" s="13">
        <v>175104</v>
      </c>
      <c r="I12" s="13">
        <f>G12-H12</f>
        <v>203195</v>
      </c>
      <c r="J12" s="21">
        <f>I12/G12</f>
        <v>0.537128038932167</v>
      </c>
      <c r="O12"/>
      <c r="P12" s="19"/>
      <c r="Q12" s="20"/>
      <c r="S12"/>
    </row>
    <row r="13" spans="1:19">
      <c r="A13" s="12" t="s">
        <v>20</v>
      </c>
      <c r="B13" s="13"/>
      <c r="C13" s="13"/>
      <c r="D13" s="13">
        <v>92714</v>
      </c>
      <c r="E13" s="13">
        <v>574890</v>
      </c>
      <c r="F13" s="13">
        <v>280209</v>
      </c>
      <c r="G13" s="13">
        <f>D13+E13-F13</f>
        <v>387395</v>
      </c>
      <c r="H13" s="13">
        <v>456938</v>
      </c>
      <c r="I13" s="13">
        <f>G13-H13</f>
        <v>-69543</v>
      </c>
      <c r="J13" s="21">
        <f>I13/G13</f>
        <v>-0.179514449076524</v>
      </c>
      <c r="O13"/>
      <c r="P13" s="19"/>
      <c r="Q13" s="20"/>
      <c r="S13"/>
    </row>
    <row r="14" spans="1:10">
      <c r="A14" s="12" t="s">
        <v>21</v>
      </c>
      <c r="B14" s="13"/>
      <c r="C14" s="13"/>
      <c r="D14" s="13"/>
      <c r="E14" s="13"/>
      <c r="F14" s="13">
        <v>280209</v>
      </c>
      <c r="G14" s="13">
        <f>F14</f>
        <v>280209</v>
      </c>
      <c r="H14" s="13">
        <v>260128</v>
      </c>
      <c r="I14" s="13">
        <f>G14-H14</f>
        <v>20081</v>
      </c>
      <c r="J14" s="21">
        <f>I14/G14</f>
        <v>0.0716643648134071</v>
      </c>
    </row>
    <row r="15" spans="1:10">
      <c r="A15" s="14" t="s">
        <v>22</v>
      </c>
      <c r="B15" s="8"/>
      <c r="C15" s="8"/>
      <c r="D15" s="8"/>
      <c r="E15" s="8"/>
      <c r="F15" s="11"/>
      <c r="G15" s="13">
        <f>SUM(G12:G14)</f>
        <v>1045903</v>
      </c>
      <c r="H15" s="13">
        <f>SUM(H12:H14)</f>
        <v>892170</v>
      </c>
      <c r="I15" s="13">
        <f>G15-H15</f>
        <v>153733</v>
      </c>
      <c r="J15" s="21">
        <f>I15/G15</f>
        <v>0.146985905958774</v>
      </c>
    </row>
    <row r="16" spans="1:20">
      <c r="A16" s="7">
        <v>45717</v>
      </c>
      <c r="B16" s="8"/>
      <c r="C16" s="8"/>
      <c r="D16" s="8"/>
      <c r="E16" s="8"/>
      <c r="F16" s="8"/>
      <c r="G16" s="8"/>
      <c r="H16" s="8"/>
      <c r="I16" s="8"/>
      <c r="J16" s="11"/>
      <c r="M16" s="19"/>
      <c r="N16" s="20"/>
      <c r="O16"/>
      <c r="P16" s="19"/>
      <c r="Q16" s="20"/>
      <c r="S16" s="19"/>
      <c r="T16" s="20"/>
    </row>
    <row r="17" spans="1:20">
      <c r="A17" s="9"/>
      <c r="B17" s="10" t="s">
        <v>8</v>
      </c>
      <c r="C17" s="8"/>
      <c r="D17" s="8"/>
      <c r="E17" s="8"/>
      <c r="F17" s="11"/>
      <c r="G17" s="10" t="s">
        <v>9</v>
      </c>
      <c r="H17" s="8"/>
      <c r="I17" s="8"/>
      <c r="J17" s="11"/>
      <c r="M17" s="19"/>
      <c r="N17" s="20"/>
      <c r="O17"/>
      <c r="P17" s="19"/>
      <c r="Q17" s="20"/>
      <c r="S17" s="19"/>
      <c r="T17" s="20"/>
    </row>
    <row r="18" spans="1:20">
      <c r="A18" s="9"/>
      <c r="B18" s="10" t="s">
        <v>10</v>
      </c>
      <c r="C18" s="10" t="s">
        <v>11</v>
      </c>
      <c r="D18" s="10" t="s">
        <v>12</v>
      </c>
      <c r="E18" s="10" t="s">
        <v>13</v>
      </c>
      <c r="F18" s="10" t="s">
        <v>14</v>
      </c>
      <c r="G18" s="10" t="s">
        <v>15</v>
      </c>
      <c r="H18" s="10" t="s">
        <v>16</v>
      </c>
      <c r="I18" s="10" t="s">
        <v>17</v>
      </c>
      <c r="J18" s="10" t="s">
        <v>18</v>
      </c>
      <c r="M18" s="19"/>
      <c r="N18" s="20"/>
      <c r="O18"/>
      <c r="P18" s="19"/>
      <c r="Q18" s="20"/>
      <c r="S18" s="19"/>
      <c r="T18" s="20"/>
    </row>
    <row r="19" spans="1:19">
      <c r="A19" s="12" t="s">
        <v>19</v>
      </c>
      <c r="B19" s="10">
        <v>3888850</v>
      </c>
      <c r="C19" s="13">
        <v>3209501</v>
      </c>
      <c r="D19" s="13">
        <v>165239</v>
      </c>
      <c r="E19" s="13"/>
      <c r="F19" s="13"/>
      <c r="G19" s="13">
        <f>B19-C19-D19</f>
        <v>514110</v>
      </c>
      <c r="H19" s="13">
        <v>200262</v>
      </c>
      <c r="I19" s="13">
        <f>G19-H19</f>
        <v>313848</v>
      </c>
      <c r="J19" s="21">
        <f>I19/G19</f>
        <v>0.610468576763728</v>
      </c>
      <c r="O19"/>
      <c r="P19" s="19"/>
      <c r="Q19" s="20"/>
      <c r="S19"/>
    </row>
    <row r="20" spans="1:19">
      <c r="A20" s="12" t="s">
        <v>20</v>
      </c>
      <c r="B20" s="13"/>
      <c r="C20" s="13"/>
      <c r="D20" s="13">
        <v>165239</v>
      </c>
      <c r="E20" s="13">
        <v>520457</v>
      </c>
      <c r="F20" s="13">
        <v>254750</v>
      </c>
      <c r="G20" s="13">
        <f>D20+E20-F20</f>
        <v>430946</v>
      </c>
      <c r="H20" s="13">
        <v>483259</v>
      </c>
      <c r="I20" s="13">
        <f>G20-H20</f>
        <v>-52313</v>
      </c>
      <c r="J20" s="21">
        <f>I20/G20</f>
        <v>-0.12139107916073</v>
      </c>
      <c r="O20"/>
      <c r="P20" s="19"/>
      <c r="Q20" s="20"/>
      <c r="S20"/>
    </row>
    <row r="21" spans="1:10">
      <c r="A21" s="12" t="s">
        <v>21</v>
      </c>
      <c r="B21" s="13"/>
      <c r="C21" s="13"/>
      <c r="D21" s="13"/>
      <c r="E21" s="13"/>
      <c r="F21" s="13">
        <v>254750</v>
      </c>
      <c r="G21" s="13">
        <f>F21</f>
        <v>254750</v>
      </c>
      <c r="H21" s="13">
        <v>219695</v>
      </c>
      <c r="I21" s="13">
        <f>G21-H21</f>
        <v>35055</v>
      </c>
      <c r="J21" s="21">
        <f>I21/G21</f>
        <v>0.137605495583906</v>
      </c>
    </row>
    <row r="22" spans="1:10">
      <c r="A22" s="14" t="s">
        <v>22</v>
      </c>
      <c r="B22" s="8"/>
      <c r="C22" s="8"/>
      <c r="D22" s="8"/>
      <c r="E22" s="8"/>
      <c r="F22" s="11"/>
      <c r="G22" s="13">
        <f>SUM(G19:G21)</f>
        <v>1199806</v>
      </c>
      <c r="H22" s="13">
        <f>SUM(H19:H21)</f>
        <v>903216</v>
      </c>
      <c r="I22" s="13">
        <f>G22-H22</f>
        <v>296590</v>
      </c>
      <c r="J22" s="21">
        <f>I22/G22</f>
        <v>0.247198297058024</v>
      </c>
    </row>
    <row r="23" spans="1:20">
      <c r="A23" s="7">
        <v>45748</v>
      </c>
      <c r="B23" s="8"/>
      <c r="C23" s="8"/>
      <c r="D23" s="8"/>
      <c r="E23" s="8"/>
      <c r="F23" s="8"/>
      <c r="G23" s="8"/>
      <c r="H23" s="8"/>
      <c r="I23" s="8"/>
      <c r="J23" s="11"/>
      <c r="M23" s="19"/>
      <c r="N23" s="20"/>
      <c r="O23"/>
      <c r="P23" s="19"/>
      <c r="Q23" s="20"/>
      <c r="S23" s="19"/>
      <c r="T23" s="20"/>
    </row>
    <row r="24" spans="1:20">
      <c r="A24" s="9"/>
      <c r="B24" s="10" t="s">
        <v>8</v>
      </c>
      <c r="C24" s="8"/>
      <c r="D24" s="8"/>
      <c r="E24" s="8"/>
      <c r="F24" s="11"/>
      <c r="G24" s="10" t="s">
        <v>9</v>
      </c>
      <c r="H24" s="8"/>
      <c r="I24" s="8"/>
      <c r="J24" s="11"/>
      <c r="M24" s="19"/>
      <c r="N24" s="20"/>
      <c r="O24"/>
      <c r="P24" s="19"/>
      <c r="Q24" s="20"/>
      <c r="S24" s="19"/>
      <c r="T24" s="20"/>
    </row>
    <row r="25" spans="1:20">
      <c r="A25" s="9"/>
      <c r="B25" s="10" t="s">
        <v>10</v>
      </c>
      <c r="C25" s="10" t="s">
        <v>11</v>
      </c>
      <c r="D25" s="10" t="s">
        <v>12</v>
      </c>
      <c r="E25" s="10" t="s">
        <v>13</v>
      </c>
      <c r="F25" s="10" t="s">
        <v>14</v>
      </c>
      <c r="G25" s="10" t="s">
        <v>15</v>
      </c>
      <c r="H25" s="10" t="s">
        <v>16</v>
      </c>
      <c r="I25" s="10" t="s">
        <v>17</v>
      </c>
      <c r="J25" s="10" t="s">
        <v>18</v>
      </c>
      <c r="M25" s="19"/>
      <c r="N25" s="20"/>
      <c r="O25"/>
      <c r="P25" s="19"/>
      <c r="Q25" s="20"/>
      <c r="S25" s="19"/>
      <c r="T25" s="20"/>
    </row>
    <row r="26" spans="1:19">
      <c r="A26" s="12" t="s">
        <v>19</v>
      </c>
      <c r="B26" s="13">
        <v>4535700</v>
      </c>
      <c r="C26" s="13">
        <v>3727121</v>
      </c>
      <c r="D26" s="13">
        <v>224316</v>
      </c>
      <c r="E26" s="13"/>
      <c r="F26" s="13"/>
      <c r="G26" s="13">
        <f>B26-C26-D26</f>
        <v>584263</v>
      </c>
      <c r="H26" s="13">
        <v>231704</v>
      </c>
      <c r="I26" s="13">
        <f>G26-H26</f>
        <v>352559</v>
      </c>
      <c r="J26" s="21">
        <f>I26/G26</f>
        <v>0.603425169829341</v>
      </c>
      <c r="O26"/>
      <c r="P26" s="19"/>
      <c r="Q26" s="20"/>
      <c r="S26"/>
    </row>
    <row r="27" spans="1:19">
      <c r="A27" s="12" t="s">
        <v>20</v>
      </c>
      <c r="B27" s="13"/>
      <c r="C27" s="13"/>
      <c r="D27" s="13">
        <v>224316</v>
      </c>
      <c r="E27" s="13">
        <v>524848</v>
      </c>
      <c r="F27" s="13">
        <v>272594</v>
      </c>
      <c r="G27" s="13">
        <f>D27+E27-F27</f>
        <v>476570</v>
      </c>
      <c r="H27" s="13">
        <v>540112</v>
      </c>
      <c r="I27" s="13">
        <f>G27-H27</f>
        <v>-63542</v>
      </c>
      <c r="J27" s="21">
        <f>I27/G27</f>
        <v>-0.133331934448245</v>
      </c>
      <c r="O27"/>
      <c r="P27" s="19"/>
      <c r="Q27" s="20"/>
      <c r="S27"/>
    </row>
    <row r="28" spans="1:10">
      <c r="A28" s="12" t="s">
        <v>21</v>
      </c>
      <c r="B28" s="13"/>
      <c r="C28" s="13"/>
      <c r="D28" s="13"/>
      <c r="E28" s="13"/>
      <c r="F28" s="13">
        <v>272594</v>
      </c>
      <c r="G28" s="13">
        <f>F28</f>
        <v>272594</v>
      </c>
      <c r="H28" s="13">
        <v>250374</v>
      </c>
      <c r="I28" s="13">
        <f>G28-H28</f>
        <v>22220</v>
      </c>
      <c r="J28" s="21">
        <f>I28/G28</f>
        <v>0.0815131661005011</v>
      </c>
    </row>
    <row r="29" spans="1:10">
      <c r="A29" s="14" t="s">
        <v>22</v>
      </c>
      <c r="B29" s="8"/>
      <c r="C29" s="8"/>
      <c r="D29" s="8"/>
      <c r="E29" s="8"/>
      <c r="F29" s="11"/>
      <c r="G29" s="13">
        <f>SUM(G26:G28)</f>
        <v>1333427</v>
      </c>
      <c r="H29" s="13">
        <f>SUM(H26:H28)</f>
        <v>1022190</v>
      </c>
      <c r="I29" s="13">
        <f>G29-H29</f>
        <v>311237</v>
      </c>
      <c r="J29" s="21">
        <f>I29/G29</f>
        <v>0.233411352852462</v>
      </c>
    </row>
    <row r="31" spans="1:10">
      <c r="A31" s="15" t="s">
        <v>23</v>
      </c>
      <c r="B31" s="16"/>
      <c r="C31" s="16"/>
      <c r="D31" s="16"/>
      <c r="E31" s="16"/>
      <c r="F31" s="16"/>
      <c r="G31" s="16"/>
      <c r="H31" s="16"/>
      <c r="I31" s="16"/>
      <c r="J31" s="18"/>
    </row>
    <row r="32" spans="1:10">
      <c r="A32" s="17"/>
      <c r="B32" s="15" t="s">
        <v>8</v>
      </c>
      <c r="C32" s="16"/>
      <c r="D32" s="16"/>
      <c r="E32" s="16"/>
      <c r="F32" s="18"/>
      <c r="G32" s="15" t="s">
        <v>9</v>
      </c>
      <c r="H32" s="16"/>
      <c r="I32" s="16"/>
      <c r="J32" s="18"/>
    </row>
    <row r="33" spans="1:10">
      <c r="A33" s="15"/>
      <c r="B33" s="15" t="s">
        <v>10</v>
      </c>
      <c r="C33" s="15" t="s">
        <v>11</v>
      </c>
      <c r="D33" s="15" t="s">
        <v>12</v>
      </c>
      <c r="E33" s="15" t="s">
        <v>13</v>
      </c>
      <c r="F33" s="15" t="s">
        <v>14</v>
      </c>
      <c r="G33" s="15" t="s">
        <v>15</v>
      </c>
      <c r="H33" s="15" t="s">
        <v>16</v>
      </c>
      <c r="I33" s="15" t="s">
        <v>17</v>
      </c>
      <c r="J33" s="15" t="s">
        <v>18</v>
      </c>
    </row>
    <row r="34" spans="1:10">
      <c r="A34" s="15" t="s">
        <v>24</v>
      </c>
      <c r="B34" s="15">
        <v>4149832</v>
      </c>
      <c r="C34" s="15">
        <v>3378216</v>
      </c>
      <c r="D34" s="15">
        <v>236130</v>
      </c>
      <c r="E34" s="15">
        <v>0</v>
      </c>
      <c r="F34" s="15">
        <v>0</v>
      </c>
      <c r="G34" s="15">
        <f>B34-C34-D34</f>
        <v>535486</v>
      </c>
      <c r="H34" s="15">
        <v>234672</v>
      </c>
      <c r="I34" s="15">
        <f>G34-H34</f>
        <v>300814</v>
      </c>
      <c r="J34" s="22">
        <f>I34/G34</f>
        <v>0.561758850838304</v>
      </c>
    </row>
    <row r="35" spans="1:10">
      <c r="A35" s="15" t="s">
        <v>25</v>
      </c>
      <c r="B35" s="15">
        <v>0</v>
      </c>
      <c r="C35" s="15">
        <v>0</v>
      </c>
      <c r="D35" s="15">
        <v>236130</v>
      </c>
      <c r="E35" s="15">
        <v>485583</v>
      </c>
      <c r="F35" s="15">
        <v>250686</v>
      </c>
      <c r="G35" s="15">
        <f>D35+E35-F35</f>
        <v>471027</v>
      </c>
      <c r="H35" s="15">
        <v>123689</v>
      </c>
      <c r="I35" s="15">
        <f>G35-H35</f>
        <v>347338</v>
      </c>
      <c r="J35" s="22">
        <f>I35/G35</f>
        <v>0.73740571134988</v>
      </c>
    </row>
    <row r="36" spans="1:10">
      <c r="A36" s="15" t="s">
        <v>26</v>
      </c>
      <c r="B36" s="15">
        <v>0</v>
      </c>
      <c r="C36" s="15">
        <v>0</v>
      </c>
      <c r="D36" s="15">
        <v>0</v>
      </c>
      <c r="E36" s="15">
        <v>0</v>
      </c>
      <c r="F36" s="15">
        <v>250686</v>
      </c>
      <c r="G36" s="15">
        <f>F36</f>
        <v>250686</v>
      </c>
      <c r="H36" s="15">
        <v>467568</v>
      </c>
      <c r="I36" s="15">
        <f>G36-H36</f>
        <v>-216882</v>
      </c>
      <c r="J36" s="22">
        <f>I36/G36</f>
        <v>-0.865154017376319</v>
      </c>
    </row>
    <row r="37" spans="1:10">
      <c r="A37" s="15"/>
      <c r="B37" s="15"/>
      <c r="C37" s="15"/>
      <c r="D37" s="15"/>
      <c r="E37" s="15"/>
      <c r="F37" s="15" t="s">
        <v>27</v>
      </c>
      <c r="G37" s="15">
        <f>SUM(G34:G36)</f>
        <v>1257199</v>
      </c>
      <c r="H37" s="15">
        <f>SUM(H34:H36)</f>
        <v>825929</v>
      </c>
      <c r="I37" s="15">
        <f>G37-H37</f>
        <v>431270</v>
      </c>
      <c r="J37" s="22">
        <f>I37/G37</f>
        <v>0.343040361947472</v>
      </c>
    </row>
  </sheetData>
  <mergeCells count="17">
    <mergeCell ref="A1:J1"/>
    <mergeCell ref="B7:F7"/>
    <mergeCell ref="A9:J9"/>
    <mergeCell ref="B10:F10"/>
    <mergeCell ref="G10:J10"/>
    <mergeCell ref="A15:F15"/>
    <mergeCell ref="A16:J16"/>
    <mergeCell ref="B17:F17"/>
    <mergeCell ref="G17:J17"/>
    <mergeCell ref="A22:F22"/>
    <mergeCell ref="A23:J23"/>
    <mergeCell ref="B24:F24"/>
    <mergeCell ref="G24:J24"/>
    <mergeCell ref="A29:F29"/>
    <mergeCell ref="A31:J31"/>
    <mergeCell ref="B32:F32"/>
    <mergeCell ref="G32:J3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石滩区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邝绿桂</cp:lastModifiedBy>
  <dcterms:created xsi:type="dcterms:W3CDTF">2025-02-28T02:13:00Z</dcterms:created>
  <dcterms:modified xsi:type="dcterms:W3CDTF">2025-10-26T07:58:23Z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074833ADF8CF4B12BF2AD9C2AE91D2A8_12</vt:lpwstr>
  </property>
  <property fmtid="{D5CDD505-2E9C-101B-9397-08002B2CF9AE}" pid="3" name="KSOProductBuildVer">
    <vt:lpwstr>2052-12.1.0.23125</vt:lpwstr>
  </property>
</Properties>
</file>