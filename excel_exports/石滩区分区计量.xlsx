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0752" windowHeight="9555" tabRatio="600" firstSheet="0" activeTab="0" autoFilterDateGrouping="1"/>
  </bookViews>
  <sheets>
    <sheet name="石滩区" sheetId="1" state="visible" r:id="rId1"/>
  </sheets>
  <definedNames/>
  <calcPr calcId="191029" fullCalcOnLoad="1" iterate="1" iterateCount="100" iterateDelta="0.001"/>
</workbook>
</file>

<file path=xl/styles.xml><?xml version="1.0" encoding="utf-8"?>
<styleSheet xmlns="http://schemas.openxmlformats.org/spreadsheetml/2006/main">
  <numFmts count="0"/>
  <fonts count="24">
    <font>
      <name val="Arial"/>
      <charset val="134"/>
      <sz val="10"/>
    </font>
    <font>
      <name val="宋体"/>
      <charset val="134"/>
      <sz val="20"/>
    </font>
    <font>
      <name val="宋体"/>
      <charset val="134"/>
      <sz val="10"/>
    </font>
    <font>
      <name val="Arial"/>
      <charset val="134"/>
      <color rgb="FF000000"/>
      <sz val="9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49">
    <xf numFmtId="0" fontId="0" fillId="0" borderId="0" applyAlignment="1">
      <alignment vertical="center"/>
    </xf>
    <xf numFmtId="43" fontId="4" fillId="0" borderId="0" applyAlignment="1">
      <alignment vertical="center"/>
    </xf>
    <xf numFmtId="44" fontId="4" fillId="0" borderId="0" applyAlignment="1">
      <alignment vertical="center"/>
    </xf>
    <xf numFmtId="9" fontId="4" fillId="0" borderId="0" applyAlignment="1">
      <alignment vertical="center"/>
    </xf>
    <xf numFmtId="41" fontId="4" fillId="0" borderId="0" applyAlignment="1">
      <alignment vertical="center"/>
    </xf>
    <xf numFmtId="42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4" fillId="2" borderId="4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5" applyAlignment="1">
      <alignment vertical="center"/>
    </xf>
    <xf numFmtId="0" fontId="11" fillId="0" borderId="5" applyAlignment="1">
      <alignment vertical="center"/>
    </xf>
    <xf numFmtId="0" fontId="12" fillId="0" borderId="6" applyAlignment="1">
      <alignment vertical="center"/>
    </xf>
    <xf numFmtId="0" fontId="12" fillId="0" borderId="0" applyAlignment="1">
      <alignment vertical="center"/>
    </xf>
    <xf numFmtId="0" fontId="13" fillId="3" borderId="7" applyAlignment="1">
      <alignment vertical="center"/>
    </xf>
    <xf numFmtId="0" fontId="14" fillId="4" borderId="8" applyAlignment="1">
      <alignment vertical="center"/>
    </xf>
    <xf numFmtId="0" fontId="15" fillId="4" borderId="7" applyAlignment="1">
      <alignment vertical="center"/>
    </xf>
    <xf numFmtId="0" fontId="16" fillId="5" borderId="9" applyAlignment="1">
      <alignment vertical="center"/>
    </xf>
    <xf numFmtId="0" fontId="17" fillId="0" borderId="10" applyAlignment="1">
      <alignment vertical="center"/>
    </xf>
    <xf numFmtId="0" fontId="18" fillId="0" borderId="11" applyAlignment="1">
      <alignment vertical="center"/>
    </xf>
    <xf numFmtId="0" fontId="19" fillId="6" borderId="0" applyAlignment="1">
      <alignment vertical="center"/>
    </xf>
    <xf numFmtId="0" fontId="20" fillId="7" borderId="0" applyAlignment="1">
      <alignment vertical="center"/>
    </xf>
    <xf numFmtId="0" fontId="21" fillId="8" borderId="0" applyAlignment="1">
      <alignment vertical="center"/>
    </xf>
    <xf numFmtId="0" fontId="22" fillId="9" borderId="0" applyAlignment="1">
      <alignment vertical="center"/>
    </xf>
    <xf numFmtId="0" fontId="23" fillId="10" borderId="0" applyAlignment="1">
      <alignment vertical="center"/>
    </xf>
    <xf numFmtId="0" fontId="23" fillId="11" borderId="0" applyAlignment="1">
      <alignment vertical="center"/>
    </xf>
    <xf numFmtId="0" fontId="22" fillId="12" borderId="0" applyAlignment="1">
      <alignment vertical="center"/>
    </xf>
    <xf numFmtId="0" fontId="22" fillId="13" borderId="0" applyAlignment="1">
      <alignment vertical="center"/>
    </xf>
    <xf numFmtId="0" fontId="23" fillId="14" borderId="0" applyAlignment="1">
      <alignment vertical="center"/>
    </xf>
    <xf numFmtId="0" fontId="23" fillId="15" borderId="0" applyAlignment="1">
      <alignment vertical="center"/>
    </xf>
    <xf numFmtId="0" fontId="22" fillId="16" borderId="0" applyAlignment="1">
      <alignment vertical="center"/>
    </xf>
    <xf numFmtId="0" fontId="22" fillId="17" borderId="0" applyAlignment="1">
      <alignment vertical="center"/>
    </xf>
    <xf numFmtId="0" fontId="23" fillId="18" borderId="0" applyAlignment="1">
      <alignment vertical="center"/>
    </xf>
    <xf numFmtId="0" fontId="23" fillId="19" borderId="0" applyAlignment="1">
      <alignment vertical="center"/>
    </xf>
    <xf numFmtId="0" fontId="22" fillId="20" borderId="0" applyAlignment="1">
      <alignment vertical="center"/>
    </xf>
    <xf numFmtId="0" fontId="22" fillId="21" borderId="0" applyAlignment="1">
      <alignment vertical="center"/>
    </xf>
    <xf numFmtId="0" fontId="23" fillId="22" borderId="0" applyAlignment="1">
      <alignment vertical="center"/>
    </xf>
    <xf numFmtId="0" fontId="23" fillId="23" borderId="0" applyAlignment="1">
      <alignment vertical="center"/>
    </xf>
    <xf numFmtId="0" fontId="22" fillId="24" borderId="0" applyAlignment="1">
      <alignment vertical="center"/>
    </xf>
    <xf numFmtId="0" fontId="22" fillId="25" borderId="0" applyAlignment="1">
      <alignment vertical="center"/>
    </xf>
    <xf numFmtId="0" fontId="23" fillId="26" borderId="0" applyAlignment="1">
      <alignment vertical="center"/>
    </xf>
    <xf numFmtId="0" fontId="23" fillId="27" borderId="0" applyAlignment="1">
      <alignment vertical="center"/>
    </xf>
    <xf numFmtId="0" fontId="22" fillId="28" borderId="0" applyAlignment="1">
      <alignment vertical="center"/>
    </xf>
    <xf numFmtId="0" fontId="22" fillId="29" borderId="0" applyAlignment="1">
      <alignment vertical="center"/>
    </xf>
    <xf numFmtId="0" fontId="23" fillId="30" borderId="0" applyAlignment="1">
      <alignment vertical="center"/>
    </xf>
    <xf numFmtId="0" fontId="23" fillId="31" borderId="0" applyAlignment="1">
      <alignment vertical="center"/>
    </xf>
    <xf numFmtId="0" fontId="22" fillId="32" borderId="0" applyAlignment="1">
      <alignment vertical="center"/>
    </xf>
  </cellStyleXfs>
  <cellXfs count="20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58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58" fontId="2" fillId="0" borderId="0" applyAlignment="1" pivotButton="0" quotePrefix="0" xfId="0">
      <alignment vertical="center"/>
    </xf>
    <xf numFmtId="57" fontId="0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2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vertical="center"/>
    </xf>
    <xf numFmtId="10" fontId="0" fillId="0" borderId="1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9"/>
  <sheetViews>
    <sheetView tabSelected="1" zoomScale="115" zoomScaleNormal="115" workbookViewId="0">
      <selection activeCell="K45" sqref="K$1:U$1048576"/>
    </sheetView>
  </sheetViews>
  <sheetFormatPr baseColWidth="8" defaultColWidth="9" defaultRowHeight="12.75"/>
  <cols>
    <col width="5.28318584070797" customWidth="1" style="1" min="1" max="1"/>
    <col width="13.283185840708" customWidth="1" style="1" min="2" max="2"/>
    <col width="21.4955752212389" customWidth="1" style="1" min="3" max="3"/>
    <col width="14.858407079646" customWidth="1" style="2" min="4" max="4"/>
    <col width="18" customWidth="1" style="1" min="5" max="5"/>
    <col width="18.3805309734513" customWidth="1" style="1" min="6" max="6"/>
    <col width="13" customWidth="1" style="1" min="7" max="7"/>
    <col width="14.4247787610619" customWidth="1" style="1" min="8" max="8"/>
    <col width="14.5309734513274" customWidth="1" style="1" min="9" max="9"/>
    <col width="17.8761061946903" customWidth="1" style="1" min="10" max="10"/>
  </cols>
  <sheetData>
    <row r="1" ht="46" customHeight="1" s="1">
      <c r="A1" s="3" t="inlineStr">
        <is>
          <t>石滩分区计量统计</t>
        </is>
      </c>
    </row>
    <row r="2">
      <c r="J2" s="0" t="n"/>
    </row>
    <row r="3">
      <c r="B3" s="4" t="inlineStr">
        <is>
          <t>抄表时间</t>
        </is>
      </c>
      <c r="C3" s="5" t="inlineStr">
        <is>
          <t>每月21日至27日</t>
        </is>
      </c>
      <c r="J3" s="0" t="n"/>
    </row>
    <row r="4">
      <c r="B4" s="4" t="inlineStr">
        <is>
          <t>流量计取值时间</t>
        </is>
      </c>
      <c r="C4" s="5" t="inlineStr">
        <is>
          <t>上月25日至当月24日</t>
        </is>
      </c>
      <c r="J4" s="0" t="n"/>
    </row>
    <row r="5" ht="25.5" customHeight="1" s="1">
      <c r="B5" s="6" t="inlineStr">
        <is>
          <t>１区月供水量＝荔新大道ＤＮ1200流量计月供水量（旧）－宁西总表ＤＮ1200流量计月供水量－如丰大道ＤＮ600流量计月供水量</t>
        </is>
      </c>
    </row>
    <row r="6" ht="26.25" customHeight="1" s="1">
      <c r="B6" s="6" t="inlineStr">
        <is>
          <t>２区月供水量＝如丰大道ＤＮ600流量计月供水量+新城大道医院NBＤＮ800流量计月供水量－三棵竹ＤＮ600流量计月供水量</t>
        </is>
      </c>
    </row>
    <row r="7" ht="27" customHeight="1" s="1">
      <c r="B7" s="7" t="inlineStr">
        <is>
          <t>３区月供水量＝三棵竹ＤＮ600流量计月供水量</t>
        </is>
      </c>
    </row>
    <row r="8">
      <c r="B8" s="4" t="n"/>
      <c r="C8" s="8" t="n"/>
      <c r="J8" s="0" t="n"/>
    </row>
    <row r="9">
      <c r="A9" s="9" t="n">
        <v>45689</v>
      </c>
      <c r="B9" s="10" t="n"/>
      <c r="C9" s="10" t="n"/>
      <c r="D9" s="10" t="n"/>
      <c r="E9" s="10" t="n"/>
      <c r="F9" s="10" t="n"/>
      <c r="G9" s="10" t="n"/>
      <c r="H9" s="10" t="n"/>
      <c r="I9" s="10" t="n"/>
      <c r="J9" s="13" t="n"/>
    </row>
    <row r="10">
      <c r="A10" s="11" t="n"/>
      <c r="B10" s="12" t="inlineStr">
        <is>
          <t>监控表供水量</t>
        </is>
      </c>
      <c r="C10" s="10" t="n"/>
      <c r="D10" s="10" t="n"/>
      <c r="E10" s="10" t="n"/>
      <c r="F10" s="13" t="n"/>
      <c r="G10" s="12" t="inlineStr">
        <is>
          <t>损耗统计</t>
        </is>
      </c>
      <c r="H10" s="10" t="n"/>
      <c r="I10" s="10" t="n"/>
      <c r="J10" s="13" t="n"/>
    </row>
    <row r="11">
      <c r="A11" s="11" t="n"/>
      <c r="B11" s="12" t="inlineStr">
        <is>
          <t>荔新大道</t>
        </is>
      </c>
      <c r="C11" s="12" t="inlineStr">
        <is>
          <t>宁西总表（插入式）DN1200</t>
        </is>
      </c>
      <c r="D11" s="12" t="inlineStr">
        <is>
          <t>如丰大道</t>
        </is>
      </c>
      <c r="E11" s="12" t="inlineStr">
        <is>
          <t>新城大道医院NB</t>
        </is>
      </c>
      <c r="F11" s="12" t="inlineStr">
        <is>
          <t>三棵竹</t>
        </is>
      </c>
      <c r="G11" s="12" t="inlineStr">
        <is>
          <t>供水量</t>
        </is>
      </c>
      <c r="H11" s="12" t="inlineStr">
        <is>
          <t>售水量</t>
        </is>
      </c>
      <c r="I11" s="12" t="inlineStr">
        <is>
          <t>损耗水量</t>
        </is>
      </c>
      <c r="J11" s="12" t="inlineStr">
        <is>
          <t>水损耗（百分比）</t>
        </is>
      </c>
    </row>
    <row r="12">
      <c r="A12" s="14" t="inlineStr">
        <is>
          <t>１区</t>
        </is>
      </c>
      <c r="B12" s="12" t="n">
        <v>2611562</v>
      </c>
      <c r="C12" s="15" t="n">
        <v>2140549</v>
      </c>
      <c r="D12" s="15" t="n">
        <v>92714</v>
      </c>
      <c r="E12" s="15" t="n"/>
      <c r="F12" s="15" t="n"/>
      <c r="G12" s="15">
        <f>B12-C12-D12</f>
        <v/>
      </c>
      <c r="H12" s="15" t="n">
        <v>175104</v>
      </c>
      <c r="I12" s="15">
        <f>G12-H12</f>
        <v/>
      </c>
      <c r="J12" s="19">
        <f>I12/G12</f>
        <v/>
      </c>
    </row>
    <row r="13">
      <c r="A13" s="14" t="inlineStr">
        <is>
          <t>２区</t>
        </is>
      </c>
      <c r="B13" s="15" t="n"/>
      <c r="C13" s="15" t="n"/>
      <c r="D13" s="15" t="n">
        <v>92714</v>
      </c>
      <c r="E13" s="15" t="n">
        <v>574890</v>
      </c>
      <c r="F13" s="15" t="n">
        <v>280209</v>
      </c>
      <c r="G13" s="15">
        <f>D13+E13-F13</f>
        <v/>
      </c>
      <c r="H13" s="15" t="n">
        <v>456938</v>
      </c>
      <c r="I13" s="15">
        <f>G13-H13</f>
        <v/>
      </c>
      <c r="J13" s="19">
        <f>I13/G13</f>
        <v/>
      </c>
    </row>
    <row r="14">
      <c r="A14" s="14" t="inlineStr">
        <is>
          <t>３区</t>
        </is>
      </c>
      <c r="B14" s="15" t="n"/>
      <c r="C14" s="15" t="n"/>
      <c r="D14" s="15" t="n"/>
      <c r="E14" s="15" t="n"/>
      <c r="F14" s="15" t="n">
        <v>280209</v>
      </c>
      <c r="G14" s="15">
        <f>F14</f>
        <v/>
      </c>
      <c r="H14" s="15" t="n">
        <v>260128</v>
      </c>
      <c r="I14" s="15">
        <f>G14-H14</f>
        <v/>
      </c>
      <c r="J14" s="19">
        <f>I14/G14</f>
        <v/>
      </c>
    </row>
    <row r="15">
      <c r="A15" s="16" t="inlineStr">
        <is>
          <t>合计：</t>
        </is>
      </c>
      <c r="B15" s="10" t="n"/>
      <c r="C15" s="10" t="n"/>
      <c r="D15" s="10" t="n"/>
      <c r="E15" s="10" t="n"/>
      <c r="F15" s="13" t="n"/>
      <c r="G15" s="15">
        <f>SUM(G12:G14)</f>
        <v/>
      </c>
      <c r="H15" s="15">
        <f>SUM(H12:H14)</f>
        <v/>
      </c>
      <c r="I15" s="15">
        <f>G15-H15</f>
        <v/>
      </c>
      <c r="J15" s="19">
        <f>I15/G15</f>
        <v/>
      </c>
    </row>
    <row r="16">
      <c r="A16" s="9" t="n">
        <v>45717</v>
      </c>
      <c r="B16" s="10" t="n"/>
      <c r="C16" s="10" t="n"/>
      <c r="D16" s="10" t="n"/>
      <c r="E16" s="10" t="n"/>
      <c r="F16" s="10" t="n"/>
      <c r="G16" s="10" t="n"/>
      <c r="H16" s="10" t="n"/>
      <c r="I16" s="10" t="n"/>
      <c r="J16" s="13" t="n"/>
    </row>
    <row r="17">
      <c r="A17" s="11" t="n"/>
      <c r="B17" s="12" t="inlineStr">
        <is>
          <t>监控表供水量</t>
        </is>
      </c>
      <c r="C17" s="10" t="n"/>
      <c r="D17" s="10" t="n"/>
      <c r="E17" s="10" t="n"/>
      <c r="F17" s="13" t="n"/>
      <c r="G17" s="12" t="inlineStr">
        <is>
          <t>损耗统计</t>
        </is>
      </c>
      <c r="H17" s="10" t="n"/>
      <c r="I17" s="10" t="n"/>
      <c r="J17" s="13" t="n"/>
    </row>
    <row r="18">
      <c r="A18" s="11" t="n"/>
      <c r="B18" s="12" t="inlineStr">
        <is>
          <t>荔新大道</t>
        </is>
      </c>
      <c r="C18" s="12" t="inlineStr">
        <is>
          <t>宁西总表（插入式）DN1200</t>
        </is>
      </c>
      <c r="D18" s="12" t="inlineStr">
        <is>
          <t>如丰大道</t>
        </is>
      </c>
      <c r="E18" s="12" t="inlineStr">
        <is>
          <t>新城大道医院NB</t>
        </is>
      </c>
      <c r="F18" s="12" t="inlineStr">
        <is>
          <t>三棵竹</t>
        </is>
      </c>
      <c r="G18" s="12" t="inlineStr">
        <is>
          <t>供水量</t>
        </is>
      </c>
      <c r="H18" s="12" t="inlineStr">
        <is>
          <t>售水量</t>
        </is>
      </c>
      <c r="I18" s="12" t="inlineStr">
        <is>
          <t>损耗水量</t>
        </is>
      </c>
      <c r="J18" s="12" t="inlineStr">
        <is>
          <t>水损耗（百分比）</t>
        </is>
      </c>
    </row>
    <row r="19">
      <c r="A19" s="14" t="inlineStr">
        <is>
          <t>１区</t>
        </is>
      </c>
      <c r="B19" s="12" t="n">
        <v>3888850</v>
      </c>
      <c r="C19" s="15" t="n">
        <v>3209501</v>
      </c>
      <c r="D19" s="15" t="n">
        <v>165239</v>
      </c>
      <c r="E19" s="15" t="n"/>
      <c r="F19" s="15" t="n"/>
      <c r="G19" s="15">
        <f>B19-C19-D19</f>
        <v/>
      </c>
      <c r="H19" s="15" t="n">
        <v>200262</v>
      </c>
      <c r="I19" s="15">
        <f>G19-H19</f>
        <v/>
      </c>
      <c r="J19" s="19">
        <f>I19/G19</f>
        <v/>
      </c>
    </row>
    <row r="20">
      <c r="A20" s="14" t="inlineStr">
        <is>
          <t>２区</t>
        </is>
      </c>
      <c r="B20" s="15" t="n"/>
      <c r="C20" s="15" t="n"/>
      <c r="D20" s="15" t="n">
        <v>165239</v>
      </c>
      <c r="E20" s="15" t="n">
        <v>520457</v>
      </c>
      <c r="F20" s="15" t="n">
        <v>254750</v>
      </c>
      <c r="G20" s="15">
        <f>D20+E20-F20</f>
        <v/>
      </c>
      <c r="H20" s="15" t="n">
        <v>483259</v>
      </c>
      <c r="I20" s="15">
        <f>G20-H20</f>
        <v/>
      </c>
      <c r="J20" s="19">
        <f>I20/G20</f>
        <v/>
      </c>
    </row>
    <row r="21">
      <c r="A21" s="14" t="inlineStr">
        <is>
          <t>３区</t>
        </is>
      </c>
      <c r="B21" s="15" t="n"/>
      <c r="C21" s="15" t="n"/>
      <c r="D21" s="15" t="n"/>
      <c r="E21" s="15" t="n"/>
      <c r="F21" s="15" t="n">
        <v>254750</v>
      </c>
      <c r="G21" s="15">
        <f>F21</f>
        <v/>
      </c>
      <c r="H21" s="15" t="n">
        <v>219695</v>
      </c>
      <c r="I21" s="15">
        <f>G21-H21</f>
        <v/>
      </c>
      <c r="J21" s="19">
        <f>I21/G21</f>
        <v/>
      </c>
    </row>
    <row r="22">
      <c r="A22" s="16" t="inlineStr">
        <is>
          <t>合计：</t>
        </is>
      </c>
      <c r="B22" s="10" t="n"/>
      <c r="C22" s="10" t="n"/>
      <c r="D22" s="10" t="n"/>
      <c r="E22" s="10" t="n"/>
      <c r="F22" s="13" t="n"/>
      <c r="G22" s="15">
        <f>SUM(G19:G21)</f>
        <v/>
      </c>
      <c r="H22" s="15">
        <f>SUM(H19:H21)</f>
        <v/>
      </c>
      <c r="I22" s="15">
        <f>G22-H22</f>
        <v/>
      </c>
      <c r="J22" s="19">
        <f>I22/G22</f>
        <v/>
      </c>
    </row>
    <row r="23">
      <c r="A23" s="9" t="n">
        <v>45748</v>
      </c>
      <c r="B23" s="10" t="n"/>
      <c r="C23" s="10" t="n"/>
      <c r="D23" s="10" t="n"/>
      <c r="E23" s="10" t="n"/>
      <c r="F23" s="10" t="n"/>
      <c r="G23" s="10" t="n"/>
      <c r="H23" s="10" t="n"/>
      <c r="I23" s="10" t="n"/>
      <c r="J23" s="13" t="n"/>
    </row>
    <row r="24">
      <c r="A24" s="11" t="n"/>
      <c r="B24" s="12" t="inlineStr">
        <is>
          <t>监控表供水量</t>
        </is>
      </c>
      <c r="C24" s="10" t="n"/>
      <c r="D24" s="10" t="n"/>
      <c r="E24" s="10" t="n"/>
      <c r="F24" s="13" t="n"/>
      <c r="G24" s="12" t="inlineStr">
        <is>
          <t>损耗统计</t>
        </is>
      </c>
      <c r="H24" s="10" t="n"/>
      <c r="I24" s="10" t="n"/>
      <c r="J24" s="13" t="n"/>
    </row>
    <row r="25">
      <c r="A25" s="11" t="n"/>
      <c r="B25" s="12" t="inlineStr">
        <is>
          <t>荔新大道</t>
        </is>
      </c>
      <c r="C25" s="12" t="inlineStr">
        <is>
          <t>宁西总表（插入式）DN1200</t>
        </is>
      </c>
      <c r="D25" s="12" t="inlineStr">
        <is>
          <t>如丰大道</t>
        </is>
      </c>
      <c r="E25" s="12" t="inlineStr">
        <is>
          <t>新城大道医院NB</t>
        </is>
      </c>
      <c r="F25" s="12" t="inlineStr">
        <is>
          <t>三棵竹</t>
        </is>
      </c>
      <c r="G25" s="12" t="inlineStr">
        <is>
          <t>供水量</t>
        </is>
      </c>
      <c r="H25" s="12" t="inlineStr">
        <is>
          <t>售水量</t>
        </is>
      </c>
      <c r="I25" s="12" t="inlineStr">
        <is>
          <t>损耗水量</t>
        </is>
      </c>
      <c r="J25" s="12" t="inlineStr">
        <is>
          <t>水损耗（百分比）</t>
        </is>
      </c>
    </row>
    <row r="26">
      <c r="A26" s="14" t="inlineStr">
        <is>
          <t>１区</t>
        </is>
      </c>
      <c r="B26" s="15" t="n">
        <v>4535700</v>
      </c>
      <c r="C26" s="15" t="n">
        <v>3727121</v>
      </c>
      <c r="D26" s="15" t="n">
        <v>224316</v>
      </c>
      <c r="E26" s="15" t="n"/>
      <c r="F26" s="15" t="n"/>
      <c r="G26" s="15">
        <f>B26-C26-D26</f>
        <v/>
      </c>
      <c r="H26" s="15" t="n">
        <v>231704</v>
      </c>
      <c r="I26" s="15">
        <f>G26-H26</f>
        <v/>
      </c>
      <c r="J26" s="19">
        <f>I26/G26</f>
        <v/>
      </c>
    </row>
    <row r="27">
      <c r="A27" s="14" t="inlineStr">
        <is>
          <t>２区</t>
        </is>
      </c>
      <c r="B27" s="15" t="n"/>
      <c r="C27" s="15" t="n"/>
      <c r="D27" s="15" t="n">
        <v>224316</v>
      </c>
      <c r="E27" s="15" t="n">
        <v>524848</v>
      </c>
      <c r="F27" s="15" t="n">
        <v>272594</v>
      </c>
      <c r="G27" s="15">
        <f>D27+E27-F27</f>
        <v/>
      </c>
      <c r="H27" s="15" t="n">
        <v>540112</v>
      </c>
      <c r="I27" s="15">
        <f>G27-H27</f>
        <v/>
      </c>
      <c r="J27" s="19">
        <f>I27/G27</f>
        <v/>
      </c>
    </row>
    <row r="28">
      <c r="A28" s="14" t="inlineStr">
        <is>
          <t>３区</t>
        </is>
      </c>
      <c r="B28" s="15" t="n"/>
      <c r="C28" s="15" t="n"/>
      <c r="D28" s="15" t="n"/>
      <c r="E28" s="15" t="n"/>
      <c r="F28" s="15" t="n">
        <v>272594</v>
      </c>
      <c r="G28" s="15">
        <f>F28</f>
        <v/>
      </c>
      <c r="H28" s="15" t="n">
        <v>250374</v>
      </c>
      <c r="I28" s="15">
        <f>G28-H28</f>
        <v/>
      </c>
      <c r="J28" s="19">
        <f>I28/G28</f>
        <v/>
      </c>
    </row>
    <row r="29">
      <c r="A29" s="16" t="inlineStr">
        <is>
          <t>合计：</t>
        </is>
      </c>
      <c r="B29" s="10" t="n"/>
      <c r="C29" s="10" t="n"/>
      <c r="D29" s="10" t="n"/>
      <c r="E29" s="10" t="n"/>
      <c r="F29" s="13" t="n"/>
      <c r="G29" s="15">
        <f>SUM(G26:G28)</f>
        <v/>
      </c>
      <c r="H29" s="15">
        <f>SUM(H26:H28)</f>
        <v/>
      </c>
      <c r="I29" s="15">
        <f>G29-H29</f>
        <v/>
      </c>
      <c r="J29" s="19">
        <f>I29/G29</f>
        <v/>
      </c>
    </row>
    <row r="31">
      <c r="A31" s="9" t="n">
        <v>45778</v>
      </c>
      <c r="B31" s="10" t="n"/>
      <c r="C31" s="10" t="n"/>
      <c r="D31" s="10" t="n"/>
      <c r="E31" s="10" t="n"/>
      <c r="F31" s="10" t="n"/>
      <c r="G31" s="10" t="n"/>
      <c r="H31" s="10" t="n"/>
      <c r="I31" s="10" t="n"/>
      <c r="J31" s="13" t="n"/>
    </row>
    <row r="32">
      <c r="A32" s="11" t="n"/>
      <c r="B32" s="15" t="inlineStr">
        <is>
          <t>监控表供水量</t>
        </is>
      </c>
      <c r="C32" s="10" t="n"/>
      <c r="D32" s="10" t="n"/>
      <c r="E32" s="10" t="n"/>
      <c r="F32" s="13" t="n"/>
      <c r="G32" s="15" t="inlineStr">
        <is>
          <t>损耗统计</t>
        </is>
      </c>
      <c r="H32" s="10" t="n"/>
      <c r="I32" s="10" t="n"/>
      <c r="J32" s="13" t="n"/>
    </row>
    <row r="33">
      <c r="A33" s="11" t="n"/>
      <c r="B33" s="15" t="inlineStr">
        <is>
          <t>荔新大道</t>
        </is>
      </c>
      <c r="C33" s="15" t="inlineStr">
        <is>
          <t>宁西总表（插入式）DN1200</t>
        </is>
      </c>
      <c r="D33" s="15" t="inlineStr">
        <is>
          <t>如丰大道</t>
        </is>
      </c>
      <c r="E33" s="15" t="inlineStr">
        <is>
          <t>新城大道医院NB</t>
        </is>
      </c>
      <c r="F33" s="15" t="inlineStr">
        <is>
          <t>三棵竹</t>
        </is>
      </c>
      <c r="G33" s="15" t="inlineStr">
        <is>
          <t>供水量</t>
        </is>
      </c>
      <c r="H33" s="15" t="inlineStr">
        <is>
          <t>售水量</t>
        </is>
      </c>
      <c r="I33" s="15" t="inlineStr">
        <is>
          <t>损耗水量</t>
        </is>
      </c>
      <c r="J33" s="15" t="inlineStr">
        <is>
          <t>水损耗（百分比）</t>
        </is>
      </c>
    </row>
    <row r="34">
      <c r="A34" s="11" t="inlineStr">
        <is>
          <t>１区</t>
        </is>
      </c>
      <c r="B34" s="15" t="n">
        <v>4299104</v>
      </c>
      <c r="C34" s="15" t="n">
        <v>3499161</v>
      </c>
      <c r="D34" s="15" t="n">
        <v>244858</v>
      </c>
      <c r="E34" s="15" t="n"/>
      <c r="F34" s="15" t="n"/>
      <c r="G34" s="15">
        <f>B34-C34-D34</f>
        <v/>
      </c>
      <c r="H34" s="15" t="n">
        <v>230214</v>
      </c>
      <c r="I34" s="15">
        <f>G34-H34</f>
        <v/>
      </c>
      <c r="J34" s="19">
        <f>I34/G34</f>
        <v/>
      </c>
    </row>
    <row r="35">
      <c r="A35" s="11" t="inlineStr">
        <is>
          <t>２区</t>
        </is>
      </c>
      <c r="B35" s="15" t="n"/>
      <c r="C35" s="15" t="n"/>
      <c r="D35" s="15" t="n">
        <v>244858</v>
      </c>
      <c r="E35" s="15" t="n">
        <v>501898</v>
      </c>
      <c r="F35" s="15" t="n">
        <v>258803</v>
      </c>
      <c r="G35" s="15">
        <f>D35+E35-F35</f>
        <v/>
      </c>
      <c r="H35" s="15" t="n">
        <v>545451</v>
      </c>
      <c r="I35" s="15">
        <f>G35-H35</f>
        <v/>
      </c>
      <c r="J35" s="19">
        <f>I35/G35</f>
        <v/>
      </c>
    </row>
    <row r="36">
      <c r="A36" s="11" t="inlineStr">
        <is>
          <t>３区</t>
        </is>
      </c>
      <c r="B36" s="15" t="n"/>
      <c r="C36" s="15" t="n"/>
      <c r="D36" s="15" t="n"/>
      <c r="E36" s="15" t="n"/>
      <c r="F36" s="15" t="n">
        <v>258803</v>
      </c>
      <c r="G36" s="15">
        <f>F36</f>
        <v/>
      </c>
      <c r="H36" s="15" t="n">
        <v>246109</v>
      </c>
      <c r="I36" s="15">
        <f>G36-H36</f>
        <v/>
      </c>
      <c r="J36" s="19">
        <f>I36/G36</f>
        <v/>
      </c>
    </row>
    <row r="37">
      <c r="A37" s="17" t="inlineStr">
        <is>
          <t>合计：</t>
        </is>
      </c>
      <c r="B37" s="10" t="n"/>
      <c r="C37" s="10" t="n"/>
      <c r="D37" s="10" t="n"/>
      <c r="E37" s="10" t="n"/>
      <c r="F37" s="13" t="n"/>
      <c r="G37" s="15">
        <f>SUM(G34:G36)</f>
        <v/>
      </c>
      <c r="H37" s="15">
        <f>SUM(H34:H36)</f>
        <v/>
      </c>
      <c r="I37" s="15">
        <f>G37-H37</f>
        <v/>
      </c>
      <c r="J37" s="19">
        <f>I37/G37</f>
        <v/>
      </c>
    </row>
    <row r="38">
      <c r="A38" s="9" t="n">
        <v>45809</v>
      </c>
      <c r="B38" s="10" t="n"/>
      <c r="C38" s="10" t="n"/>
      <c r="D38" s="10" t="n"/>
      <c r="E38" s="10" t="n"/>
      <c r="F38" s="10" t="n"/>
      <c r="G38" s="10" t="n"/>
      <c r="H38" s="10" t="n"/>
      <c r="I38" s="10" t="n"/>
      <c r="J38" s="13" t="n"/>
    </row>
    <row r="39">
      <c r="A39" s="11" t="n"/>
      <c r="B39" s="15" t="inlineStr">
        <is>
          <t>监控表供水量</t>
        </is>
      </c>
      <c r="C39" s="10" t="n"/>
      <c r="D39" s="10" t="n"/>
      <c r="E39" s="10" t="n"/>
      <c r="F39" s="13" t="n"/>
      <c r="G39" s="15" t="inlineStr">
        <is>
          <t>损耗统计</t>
        </is>
      </c>
      <c r="H39" s="10" t="n"/>
      <c r="I39" s="10" t="n"/>
      <c r="J39" s="13" t="n"/>
    </row>
    <row r="40">
      <c r="A40" s="11" t="n"/>
      <c r="B40" s="15" t="inlineStr">
        <is>
          <t>荔新大道</t>
        </is>
      </c>
      <c r="C40" s="15" t="inlineStr">
        <is>
          <t>宁西总表（插入式）DN1200</t>
        </is>
      </c>
      <c r="D40" s="15" t="inlineStr">
        <is>
          <t>如丰大道</t>
        </is>
      </c>
      <c r="E40" s="15" t="inlineStr">
        <is>
          <t>新城大道医院NB</t>
        </is>
      </c>
      <c r="F40" s="15" t="inlineStr">
        <is>
          <t>三棵竹</t>
        </is>
      </c>
      <c r="G40" s="15" t="inlineStr">
        <is>
          <t>供水量</t>
        </is>
      </c>
      <c r="H40" s="15" t="inlineStr">
        <is>
          <t>售水量</t>
        </is>
      </c>
      <c r="I40" s="15" t="inlineStr">
        <is>
          <t>损耗水量</t>
        </is>
      </c>
      <c r="J40" s="15" t="inlineStr">
        <is>
          <t>水损耗（百分比）</t>
        </is>
      </c>
    </row>
    <row r="41">
      <c r="A41" s="11" t="inlineStr">
        <is>
          <t>１区</t>
        </is>
      </c>
      <c r="B41" s="15" t="n">
        <v>4312551</v>
      </c>
      <c r="C41" s="15" t="n">
        <v>3504653</v>
      </c>
      <c r="D41" s="15" t="n">
        <v>244504</v>
      </c>
      <c r="E41" s="15" t="n"/>
      <c r="F41" s="15" t="n"/>
      <c r="G41" s="15">
        <f>B41-C41-D41</f>
        <v/>
      </c>
      <c r="H41" s="15" t="n">
        <v>256745</v>
      </c>
      <c r="I41" s="15">
        <f>G41-H41</f>
        <v/>
      </c>
      <c r="J41" s="19">
        <f>I41/G41</f>
        <v/>
      </c>
    </row>
    <row r="42">
      <c r="A42" s="11" t="inlineStr">
        <is>
          <t>２区</t>
        </is>
      </c>
      <c r="B42" s="15" t="n"/>
      <c r="C42" s="15" t="n"/>
      <c r="D42" s="15" t="n">
        <v>244504</v>
      </c>
      <c r="E42" s="15" t="n">
        <v>501845</v>
      </c>
      <c r="F42" s="15" t="n">
        <v>267181</v>
      </c>
      <c r="G42" s="15">
        <f>D42+E42-F42</f>
        <v/>
      </c>
      <c r="H42" s="15" t="n">
        <v>551355</v>
      </c>
      <c r="I42" s="15">
        <f>G42-H42</f>
        <v/>
      </c>
      <c r="J42" s="19">
        <f>I42/G42</f>
        <v/>
      </c>
    </row>
    <row r="43">
      <c r="A43" s="11" t="inlineStr">
        <is>
          <t>３区</t>
        </is>
      </c>
      <c r="B43" s="15" t="n"/>
      <c r="C43" s="15" t="n"/>
      <c r="D43" s="15" t="n"/>
      <c r="E43" s="15" t="n"/>
      <c r="F43" s="15" t="n">
        <v>267181</v>
      </c>
      <c r="G43" s="15">
        <f>F43</f>
        <v/>
      </c>
      <c r="H43" s="15" t="n">
        <v>260651</v>
      </c>
      <c r="I43" s="15">
        <f>G43-H43</f>
        <v/>
      </c>
      <c r="J43" s="19">
        <f>I43/G43</f>
        <v/>
      </c>
    </row>
    <row r="44" ht="13" customHeight="1" s="1">
      <c r="A44" s="17" t="inlineStr">
        <is>
          <t>合计：</t>
        </is>
      </c>
      <c r="B44" s="10" t="n"/>
      <c r="C44" s="10" t="n"/>
      <c r="D44" s="10" t="n"/>
      <c r="E44" s="10" t="n"/>
      <c r="F44" s="13" t="n"/>
      <c r="G44" s="15">
        <f>SUM(G41:G43)</f>
        <v/>
      </c>
      <c r="H44" s="15">
        <f>SUM(H41:H43)</f>
        <v/>
      </c>
      <c r="I44" s="15">
        <f>G44-H44</f>
        <v/>
      </c>
      <c r="J44" s="19">
        <f>I44/G44</f>
        <v/>
      </c>
    </row>
    <row r="45">
      <c r="A45" s="9" t="n">
        <v>45839</v>
      </c>
      <c r="B45" s="10" t="n"/>
      <c r="C45" s="10" t="n"/>
      <c r="D45" s="10" t="n"/>
      <c r="E45" s="10" t="n"/>
      <c r="F45" s="10" t="n"/>
      <c r="G45" s="10" t="n"/>
      <c r="H45" s="10" t="n"/>
      <c r="I45" s="10" t="n"/>
      <c r="J45" s="13" t="n"/>
    </row>
    <row r="46">
      <c r="A46" s="11" t="n"/>
      <c r="B46" s="15" t="inlineStr">
        <is>
          <t>监控表供水量</t>
        </is>
      </c>
      <c r="C46" s="10" t="n"/>
      <c r="D46" s="10" t="n"/>
      <c r="E46" s="10" t="n"/>
      <c r="F46" s="13" t="n"/>
      <c r="G46" s="15" t="inlineStr">
        <is>
          <t>损耗统计</t>
        </is>
      </c>
      <c r="H46" s="10" t="n"/>
      <c r="I46" s="10" t="n"/>
      <c r="J46" s="13" t="n"/>
    </row>
    <row r="47">
      <c r="A47" s="11" t="n"/>
      <c r="B47" s="15" t="inlineStr">
        <is>
          <t>荔新大道</t>
        </is>
      </c>
      <c r="C47" s="15" t="inlineStr">
        <is>
          <t>宁西总表（插入式）DN1200</t>
        </is>
      </c>
      <c r="D47" s="15" t="inlineStr">
        <is>
          <t>如丰大道</t>
        </is>
      </c>
      <c r="E47" s="15" t="inlineStr">
        <is>
          <t>新城大道医院NB</t>
        </is>
      </c>
      <c r="F47" s="15" t="inlineStr">
        <is>
          <t>三棵竹</t>
        </is>
      </c>
      <c r="G47" s="15" t="inlineStr">
        <is>
          <t>供水量</t>
        </is>
      </c>
      <c r="H47" s="15" t="inlineStr">
        <is>
          <t>售水量</t>
        </is>
      </c>
      <c r="I47" s="15" t="inlineStr">
        <is>
          <t>损耗水量</t>
        </is>
      </c>
      <c r="J47" s="15" t="inlineStr">
        <is>
          <t>水损耗（百分比）</t>
        </is>
      </c>
    </row>
    <row r="48">
      <c r="A48" s="11" t="inlineStr">
        <is>
          <t>１区</t>
        </is>
      </c>
      <c r="B48" s="15" t="n">
        <v>4138375</v>
      </c>
      <c r="C48" s="15" t="n">
        <v>3385980</v>
      </c>
      <c r="D48" s="15" t="n">
        <v>219320</v>
      </c>
      <c r="E48" s="15" t="n"/>
      <c r="F48" s="15" t="n"/>
      <c r="G48" s="15">
        <f>B48-C48-D48</f>
        <v/>
      </c>
      <c r="H48" s="15" t="n">
        <v>221076</v>
      </c>
      <c r="I48" s="15">
        <f>G48-H48</f>
        <v/>
      </c>
      <c r="J48" s="19">
        <f>I48/G48</f>
        <v/>
      </c>
    </row>
    <row r="49">
      <c r="A49" s="11" t="inlineStr">
        <is>
          <t>２区</t>
        </is>
      </c>
      <c r="B49" s="15" t="n"/>
      <c r="C49" s="15" t="n"/>
      <c r="D49" s="15" t="n">
        <v>219320</v>
      </c>
      <c r="E49" s="15" t="n">
        <v>512255</v>
      </c>
      <c r="F49" s="15" t="n">
        <v>262669</v>
      </c>
      <c r="G49" s="15">
        <f>D49+E49-F49</f>
        <v/>
      </c>
      <c r="H49" s="15" t="n">
        <v>516192</v>
      </c>
      <c r="I49" s="15">
        <f>G49-H49</f>
        <v/>
      </c>
      <c r="J49" s="19">
        <f>I49/G49</f>
        <v/>
      </c>
    </row>
    <row r="50">
      <c r="A50" s="11" t="inlineStr">
        <is>
          <t>３区</t>
        </is>
      </c>
      <c r="B50" s="15" t="n"/>
      <c r="C50" s="15" t="n"/>
      <c r="D50" s="15" t="n"/>
      <c r="E50" s="15" t="n"/>
      <c r="F50" s="15" t="n">
        <v>262669</v>
      </c>
      <c r="G50" s="15">
        <f>F50</f>
        <v/>
      </c>
      <c r="H50" s="15" t="n">
        <v>252478</v>
      </c>
      <c r="I50" s="15">
        <f>G50-H50</f>
        <v/>
      </c>
      <c r="J50" s="19">
        <f>I50/G50</f>
        <v/>
      </c>
    </row>
    <row r="51">
      <c r="A51" s="17" t="inlineStr">
        <is>
          <t>合计：</t>
        </is>
      </c>
      <c r="B51" s="10" t="n"/>
      <c r="C51" s="10" t="n"/>
      <c r="D51" s="10" t="n"/>
      <c r="E51" s="10" t="n"/>
      <c r="F51" s="13" t="n"/>
      <c r="G51" s="15">
        <f>SUM(G48:G50)</f>
        <v/>
      </c>
      <c r="H51" s="15">
        <f>SUM(H48:H50)</f>
        <v/>
      </c>
      <c r="I51" s="15">
        <f>G51-H51</f>
        <v/>
      </c>
      <c r="J51" s="19">
        <f>I51/G51</f>
        <v/>
      </c>
    </row>
    <row r="52">
      <c r="A52" s="9" t="n">
        <v>45870</v>
      </c>
      <c r="B52" s="10" t="n"/>
      <c r="C52" s="10" t="n"/>
      <c r="D52" s="10" t="n"/>
      <c r="E52" s="10" t="n"/>
      <c r="F52" s="10" t="n"/>
      <c r="G52" s="10" t="n"/>
      <c r="H52" s="10" t="n"/>
      <c r="I52" s="10" t="n"/>
      <c r="J52" s="13" t="n"/>
    </row>
    <row r="53">
      <c r="A53" s="11" t="n"/>
      <c r="B53" s="15" t="inlineStr">
        <is>
          <t>监控表供水量</t>
        </is>
      </c>
      <c r="C53" s="10" t="n"/>
      <c r="D53" s="10" t="n"/>
      <c r="E53" s="10" t="n"/>
      <c r="F53" s="13" t="n"/>
      <c r="G53" s="15" t="inlineStr">
        <is>
          <t>损耗统计</t>
        </is>
      </c>
      <c r="H53" s="10" t="n"/>
      <c r="I53" s="10" t="n"/>
      <c r="J53" s="13" t="n"/>
    </row>
    <row r="54">
      <c r="A54" s="11" t="n"/>
      <c r="B54" s="15" t="inlineStr">
        <is>
          <t>荔新大道</t>
        </is>
      </c>
      <c r="C54" s="15" t="inlineStr">
        <is>
          <t>宁西总表（插入式）DN1200</t>
        </is>
      </c>
      <c r="D54" s="15" t="inlineStr">
        <is>
          <t>如丰大道</t>
        </is>
      </c>
      <c r="E54" s="15" t="inlineStr">
        <is>
          <t>新城大道医院NB</t>
        </is>
      </c>
      <c r="F54" s="15" t="inlineStr">
        <is>
          <t>三棵竹</t>
        </is>
      </c>
      <c r="G54" s="15" t="inlineStr">
        <is>
          <t>供水量</t>
        </is>
      </c>
      <c r="H54" s="15" t="inlineStr">
        <is>
          <t>售水量</t>
        </is>
      </c>
      <c r="I54" s="15" t="inlineStr">
        <is>
          <t>损耗水量</t>
        </is>
      </c>
      <c r="J54" s="15" t="inlineStr">
        <is>
          <t>水损耗（百分比）</t>
        </is>
      </c>
    </row>
    <row r="55">
      <c r="A55" s="11" t="inlineStr">
        <is>
          <t>１区</t>
        </is>
      </c>
      <c r="B55" s="18" t="n">
        <v>4527304</v>
      </c>
      <c r="C55" s="15" t="n">
        <v>3755221</v>
      </c>
      <c r="D55" s="15" t="n">
        <v>223735</v>
      </c>
      <c r="E55" s="15" t="n"/>
      <c r="F55" s="15" t="n"/>
      <c r="G55" s="15">
        <f>B55-C55-D55</f>
        <v/>
      </c>
      <c r="H55" s="15" t="n">
        <v>203058</v>
      </c>
      <c r="I55" s="15">
        <f>G55-H55</f>
        <v/>
      </c>
      <c r="J55" s="19">
        <f>I55/G55</f>
        <v/>
      </c>
    </row>
    <row r="56">
      <c r="A56" s="11" t="inlineStr">
        <is>
          <t>２区</t>
        </is>
      </c>
      <c r="B56" s="15" t="n"/>
      <c r="C56" s="15" t="n"/>
      <c r="D56" s="15" t="n">
        <v>223735</v>
      </c>
      <c r="E56" s="15" t="n">
        <v>577398</v>
      </c>
      <c r="F56" s="15" t="n">
        <v>314436</v>
      </c>
      <c r="G56" s="15">
        <f>D56+E56-F56</f>
        <v/>
      </c>
      <c r="H56" s="15" t="n">
        <v>507888</v>
      </c>
      <c r="I56" s="15">
        <f>G56-H56</f>
        <v/>
      </c>
      <c r="J56" s="19">
        <f>I56/G56</f>
        <v/>
      </c>
    </row>
    <row r="57">
      <c r="A57" s="11" t="inlineStr">
        <is>
          <t>３区</t>
        </is>
      </c>
      <c r="B57" s="15" t="n"/>
      <c r="C57" s="15" t="n"/>
      <c r="D57" s="15" t="n"/>
      <c r="E57" s="15" t="n"/>
      <c r="F57" s="15" t="n">
        <v>314436</v>
      </c>
      <c r="G57" s="15">
        <f>F57</f>
        <v/>
      </c>
      <c r="H57" s="15" t="n">
        <v>292381</v>
      </c>
      <c r="I57" s="15">
        <f>G57-H57</f>
        <v/>
      </c>
      <c r="J57" s="19">
        <f>I57/G57</f>
        <v/>
      </c>
    </row>
    <row r="58">
      <c r="A58" s="17" t="inlineStr">
        <is>
          <t>合计：</t>
        </is>
      </c>
      <c r="B58" s="10" t="n"/>
      <c r="C58" s="10" t="n"/>
      <c r="D58" s="10" t="n"/>
      <c r="E58" s="10" t="n"/>
      <c r="F58" s="13" t="n"/>
      <c r="G58" s="15">
        <f>SUM(G55:G57)</f>
        <v/>
      </c>
      <c r="H58" s="15">
        <f>SUM(H55:H57)</f>
        <v/>
      </c>
      <c r="I58" s="15">
        <f>G58-H58</f>
        <v/>
      </c>
      <c r="J58" s="19">
        <f>I58/G58</f>
        <v/>
      </c>
    </row>
    <row r="59">
      <c r="A59" s="9" t="n">
        <v>45901</v>
      </c>
      <c r="B59" s="10" t="n"/>
      <c r="C59" s="10" t="n"/>
      <c r="D59" s="10" t="n"/>
      <c r="E59" s="10" t="n"/>
      <c r="F59" s="10" t="n"/>
      <c r="G59" s="10" t="n"/>
      <c r="H59" s="10" t="n"/>
      <c r="I59" s="10" t="n"/>
      <c r="J59" s="13" t="n"/>
    </row>
    <row r="60">
      <c r="A60" s="11" t="n"/>
      <c r="B60" s="15" t="inlineStr">
        <is>
          <t>监控表供水量</t>
        </is>
      </c>
      <c r="C60" s="10" t="n"/>
      <c r="D60" s="10" t="n"/>
      <c r="E60" s="10" t="n"/>
      <c r="F60" s="13" t="n"/>
      <c r="G60" s="15" t="inlineStr">
        <is>
          <t>损耗统计</t>
        </is>
      </c>
      <c r="H60" s="10" t="n"/>
      <c r="I60" s="10" t="n"/>
      <c r="J60" s="13" t="n"/>
    </row>
    <row r="61">
      <c r="A61" s="11" t="n"/>
      <c r="B61" s="15" t="inlineStr">
        <is>
          <t>荔新大道</t>
        </is>
      </c>
      <c r="C61" s="15" t="inlineStr">
        <is>
          <t>宁西总表（插入式）DN1200</t>
        </is>
      </c>
      <c r="D61" s="15" t="inlineStr">
        <is>
          <t>如丰大道</t>
        </is>
      </c>
      <c r="E61" s="15" t="inlineStr">
        <is>
          <t>新城大道医院NB</t>
        </is>
      </c>
      <c r="F61" s="15" t="inlineStr">
        <is>
          <t>三棵竹</t>
        </is>
      </c>
      <c r="G61" s="15" t="inlineStr">
        <is>
          <t>供水量</t>
        </is>
      </c>
      <c r="H61" s="15" t="inlineStr">
        <is>
          <t>售水量</t>
        </is>
      </c>
      <c r="I61" s="15" t="inlineStr">
        <is>
          <t>损耗水量</t>
        </is>
      </c>
      <c r="J61" s="15" t="inlineStr">
        <is>
          <t>水损耗（百分比）</t>
        </is>
      </c>
    </row>
    <row r="62">
      <c r="A62" s="11" t="inlineStr">
        <is>
          <t>１区</t>
        </is>
      </c>
      <c r="B62" s="18" t="n">
        <v>4264205</v>
      </c>
      <c r="C62" s="15" t="n">
        <v>3457264</v>
      </c>
      <c r="D62" s="15" t="n">
        <v>253250</v>
      </c>
      <c r="E62" s="15" t="n"/>
      <c r="F62" s="15" t="n"/>
      <c r="G62" s="15">
        <f>B62-C62-D62</f>
        <v/>
      </c>
      <c r="H62" s="15" t="n">
        <v>223896</v>
      </c>
      <c r="I62" s="15">
        <f>G62-H62</f>
        <v/>
      </c>
      <c r="J62" s="19">
        <f>I62/G62</f>
        <v/>
      </c>
    </row>
    <row r="63">
      <c r="A63" s="11" t="inlineStr">
        <is>
          <t>２区</t>
        </is>
      </c>
      <c r="B63" s="15" t="n"/>
      <c r="C63" s="15" t="n"/>
      <c r="D63" s="15" t="n">
        <v>253250</v>
      </c>
      <c r="E63" s="15" t="n">
        <v>505577</v>
      </c>
      <c r="F63" s="15" t="n">
        <v>265859</v>
      </c>
      <c r="G63" s="15">
        <f>D63+E63-F63</f>
        <v/>
      </c>
      <c r="H63" s="15" t="n">
        <v>550454</v>
      </c>
      <c r="I63" s="15">
        <f>G63-H63</f>
        <v/>
      </c>
      <c r="J63" s="19">
        <f>I63/G63</f>
        <v/>
      </c>
    </row>
    <row r="64">
      <c r="A64" s="11" t="inlineStr">
        <is>
          <t>３区</t>
        </is>
      </c>
      <c r="B64" s="15" t="n"/>
      <c r="C64" s="15" t="n"/>
      <c r="D64" s="15" t="n"/>
      <c r="E64" s="15" t="n"/>
      <c r="F64" s="15" t="n">
        <v>265859</v>
      </c>
      <c r="G64" s="15">
        <f>F64</f>
        <v/>
      </c>
      <c r="H64" s="15" t="n">
        <v>256399</v>
      </c>
      <c r="I64" s="15">
        <f>G64-H64</f>
        <v/>
      </c>
      <c r="J64" s="19">
        <f>I64/G64</f>
        <v/>
      </c>
    </row>
    <row r="65">
      <c r="A65" s="11" t="n"/>
      <c r="B65" s="17" t="inlineStr">
        <is>
          <t>合计：</t>
        </is>
      </c>
      <c r="C65" s="10" t="n"/>
      <c r="D65" s="10" t="n"/>
      <c r="E65" s="10" t="n"/>
      <c r="F65" s="13" t="n"/>
      <c r="G65" s="15">
        <f>SUM(G62:G64)</f>
        <v/>
      </c>
      <c r="H65" s="15">
        <f>SUM(H62:H64)</f>
        <v/>
      </c>
      <c r="I65" s="15">
        <f>G65-H65</f>
        <v/>
      </c>
      <c r="J65" s="19">
        <f>I65/G65</f>
        <v/>
      </c>
    </row>
    <row r="67">
      <c r="E67" s="0" t="inlineStr">
        <is>
          <t>2025年12月</t>
        </is>
      </c>
    </row>
    <row r="68">
      <c r="B68" s="15" t="inlineStr">
        <is>
          <t>荔新大道</t>
        </is>
      </c>
      <c r="C68" s="10" t="inlineStr">
        <is>
          <t>宁西总表（插入式）DN1200</t>
        </is>
      </c>
      <c r="D68" s="10" t="inlineStr">
        <is>
          <t>如丰大道</t>
        </is>
      </c>
      <c r="E68" s="10" t="inlineStr">
        <is>
          <t>新城大道医院NB</t>
        </is>
      </c>
      <c r="F68" s="13" t="inlineStr">
        <is>
          <t>三棵竹</t>
        </is>
      </c>
      <c r="G68" s="15" t="inlineStr">
        <is>
          <t>供水量</t>
        </is>
      </c>
      <c r="H68" s="10" t="inlineStr">
        <is>
          <t>售水量</t>
        </is>
      </c>
      <c r="I68" s="10" t="inlineStr">
        <is>
          <t>损耗水量</t>
        </is>
      </c>
      <c r="J68" s="13" t="inlineStr">
        <is>
          <t>水损耗（百分比）</t>
        </is>
      </c>
    </row>
    <row r="69">
      <c r="A69" s="11" t="inlineStr">
        <is>
          <t>1区</t>
        </is>
      </c>
      <c r="B69" s="15" t="n">
        <v>0</v>
      </c>
      <c r="C69" s="15" t="n">
        <v>0</v>
      </c>
      <c r="D69" s="15" t="n">
        <v>0</v>
      </c>
      <c r="E69" s="15" t="n">
        <v>0</v>
      </c>
      <c r="F69" s="15" t="n">
        <v>0</v>
      </c>
      <c r="G69" s="15" t="n">
        <v>0</v>
      </c>
      <c r="H69" s="15" t="n">
        <v>0</v>
      </c>
      <c r="I69" s="15" t="n">
        <v>0</v>
      </c>
      <c r="J69" s="15" t="n">
        <v>0</v>
      </c>
    </row>
    <row r="70">
      <c r="A70" s="11" t="inlineStr">
        <is>
          <t>2区</t>
        </is>
      </c>
      <c r="B70" s="15" t="n">
        <v>0</v>
      </c>
      <c r="C70" s="15" t="n">
        <v>0</v>
      </c>
      <c r="D70" s="15" t="n">
        <v>0</v>
      </c>
      <c r="E70" s="15" t="n">
        <v>0</v>
      </c>
      <c r="F70" s="15" t="n">
        <v>0</v>
      </c>
      <c r="G70" s="15" t="n">
        <v>0</v>
      </c>
      <c r="H70" s="15" t="n">
        <v>0</v>
      </c>
      <c r="I70" s="15" t="n">
        <v>0</v>
      </c>
      <c r="J70" s="15" t="n">
        <v>0</v>
      </c>
    </row>
    <row r="71">
      <c r="A71" s="11" t="inlineStr">
        <is>
          <t>3区</t>
        </is>
      </c>
      <c r="B71" s="15" t="n">
        <v>0</v>
      </c>
      <c r="C71" s="15" t="n">
        <v>0</v>
      </c>
      <c r="D71" s="15" t="n">
        <v>0</v>
      </c>
      <c r="E71" s="15" t="n">
        <v>0</v>
      </c>
      <c r="F71" s="15" t="n">
        <v>0</v>
      </c>
      <c r="G71" s="15" t="n">
        <v>0</v>
      </c>
      <c r="H71" s="15" t="n">
        <v>0</v>
      </c>
      <c r="I71" s="15" t="n">
        <v>0</v>
      </c>
      <c r="J71" s="15" t="n">
        <v>0</v>
      </c>
    </row>
    <row r="72">
      <c r="F72" s="15" t="inlineStr">
        <is>
          <t>合计:</t>
        </is>
      </c>
      <c r="G72" s="15" t="n">
        <v>0</v>
      </c>
      <c r="H72" s="15" t="n">
        <v>0</v>
      </c>
      <c r="I72" s="15" t="n">
        <v>0</v>
      </c>
      <c r="J72" s="19" t="n">
        <v>0</v>
      </c>
    </row>
    <row r="74">
      <c r="E74" s="0" t="inlineStr">
        <is>
          <t>2026年1月</t>
        </is>
      </c>
    </row>
    <row r="75">
      <c r="B75" s="15" t="inlineStr">
        <is>
          <t>荔新大道</t>
        </is>
      </c>
      <c r="C75" s="10" t="inlineStr">
        <is>
          <t>宁西总表（插入式）DN1200</t>
        </is>
      </c>
      <c r="D75" s="10" t="inlineStr">
        <is>
          <t>如丰大道</t>
        </is>
      </c>
      <c r="E75" s="10" t="inlineStr">
        <is>
          <t>新城大道医院NB</t>
        </is>
      </c>
      <c r="F75" s="13" t="inlineStr">
        <is>
          <t>三棵竹</t>
        </is>
      </c>
      <c r="G75" s="15" t="inlineStr">
        <is>
          <t>供水量</t>
        </is>
      </c>
      <c r="H75" s="10" t="inlineStr">
        <is>
          <t>售水量</t>
        </is>
      </c>
      <c r="I75" s="10" t="inlineStr">
        <is>
          <t>损耗水量</t>
        </is>
      </c>
      <c r="J75" s="13" t="inlineStr">
        <is>
          <t>水损耗（百分比）</t>
        </is>
      </c>
    </row>
    <row r="76">
      <c r="A76" s="11" t="inlineStr">
        <is>
          <t>1区</t>
        </is>
      </c>
      <c r="B76" s="15" t="n">
        <v>0</v>
      </c>
      <c r="C76" s="15" t="n">
        <v>0</v>
      </c>
      <c r="D76" s="15" t="n">
        <v>0</v>
      </c>
      <c r="E76" s="15" t="n">
        <v>0</v>
      </c>
      <c r="F76" s="15" t="n">
        <v>0</v>
      </c>
      <c r="G76" s="15" t="n">
        <v>0</v>
      </c>
      <c r="H76" s="15" t="n">
        <v>0</v>
      </c>
      <c r="I76" s="15" t="n">
        <v>0</v>
      </c>
      <c r="J76" s="15" t="n">
        <v>0</v>
      </c>
    </row>
    <row r="77">
      <c r="A77" s="11" t="inlineStr">
        <is>
          <t>2区</t>
        </is>
      </c>
      <c r="B77" s="15" t="n">
        <v>0</v>
      </c>
      <c r="C77" s="15" t="n">
        <v>0</v>
      </c>
      <c r="D77" s="15" t="n">
        <v>0</v>
      </c>
      <c r="E77" s="15" t="n">
        <v>0</v>
      </c>
      <c r="F77" s="15" t="n">
        <v>0</v>
      </c>
      <c r="G77" s="15" t="n">
        <v>0</v>
      </c>
      <c r="H77" s="15" t="n">
        <v>0</v>
      </c>
      <c r="I77" s="15" t="n">
        <v>0</v>
      </c>
      <c r="J77" s="15" t="n">
        <v>0</v>
      </c>
    </row>
    <row r="78">
      <c r="A78" s="11" t="inlineStr">
        <is>
          <t>3区</t>
        </is>
      </c>
      <c r="B78" s="15" t="n">
        <v>0</v>
      </c>
      <c r="C78" s="15" t="n">
        <v>0</v>
      </c>
      <c r="D78" s="15" t="n">
        <v>0</v>
      </c>
      <c r="E78" s="15" t="n">
        <v>0</v>
      </c>
      <c r="F78" s="15" t="n">
        <v>0</v>
      </c>
      <c r="G78" s="15" t="n">
        <v>0</v>
      </c>
      <c r="H78" s="15" t="n">
        <v>0</v>
      </c>
      <c r="I78" s="15" t="n">
        <v>0</v>
      </c>
      <c r="J78" s="15" t="n">
        <v>0</v>
      </c>
    </row>
    <row r="79">
      <c r="F79" s="15" t="inlineStr">
        <is>
          <t>合计:</t>
        </is>
      </c>
      <c r="G79" s="15" t="n">
        <v>0</v>
      </c>
      <c r="H79" s="15" t="n">
        <v>0</v>
      </c>
      <c r="I79" s="15" t="n">
        <v>0</v>
      </c>
      <c r="J79" s="19" t="n">
        <v>0</v>
      </c>
    </row>
    <row r="81">
      <c r="E81" s="0" t="inlineStr">
        <is>
          <t>2026年2月</t>
        </is>
      </c>
    </row>
    <row r="82">
      <c r="B82" s="15" t="inlineStr">
        <is>
          <t>荔新大道</t>
        </is>
      </c>
      <c r="C82" s="10" t="inlineStr">
        <is>
          <t>宁西总表（插入式）DN1200</t>
        </is>
      </c>
      <c r="D82" s="10" t="inlineStr">
        <is>
          <t>如丰大道</t>
        </is>
      </c>
      <c r="E82" s="10" t="inlineStr">
        <is>
          <t>新城大道医院NB</t>
        </is>
      </c>
      <c r="F82" s="13" t="inlineStr">
        <is>
          <t>三棵竹</t>
        </is>
      </c>
      <c r="G82" s="15" t="inlineStr">
        <is>
          <t>供水量</t>
        </is>
      </c>
      <c r="H82" s="10" t="inlineStr">
        <is>
          <t>售水量</t>
        </is>
      </c>
      <c r="I82" s="10" t="inlineStr">
        <is>
          <t>损耗水量</t>
        </is>
      </c>
      <c r="J82" s="13" t="inlineStr">
        <is>
          <t>水损耗（百分比）</t>
        </is>
      </c>
    </row>
    <row r="83">
      <c r="A83" s="11" t="inlineStr">
        <is>
          <t>1区</t>
        </is>
      </c>
      <c r="B83" s="15" t="n">
        <v>0</v>
      </c>
      <c r="C83" s="15" t="n">
        <v>0</v>
      </c>
      <c r="D83" s="15" t="n">
        <v>0</v>
      </c>
      <c r="E83" s="15" t="n">
        <v>0</v>
      </c>
      <c r="F83" s="15" t="n">
        <v>0</v>
      </c>
      <c r="G83" s="15" t="n">
        <v>0</v>
      </c>
      <c r="H83" s="15" t="n">
        <v>0</v>
      </c>
      <c r="I83" s="15" t="n">
        <v>0</v>
      </c>
      <c r="J83" s="15" t="n">
        <v>0</v>
      </c>
    </row>
    <row r="84">
      <c r="A84" s="11" t="inlineStr">
        <is>
          <t>2区</t>
        </is>
      </c>
      <c r="B84" s="15" t="n">
        <v>0</v>
      </c>
      <c r="C84" s="15" t="n">
        <v>0</v>
      </c>
      <c r="D84" s="15" t="n">
        <v>0</v>
      </c>
      <c r="E84" s="15" t="n">
        <v>0</v>
      </c>
      <c r="F84" s="15" t="n">
        <v>0</v>
      </c>
      <c r="G84" s="15" t="n">
        <v>0</v>
      </c>
      <c r="H84" s="15" t="n">
        <v>0</v>
      </c>
      <c r="I84" s="15" t="n">
        <v>0</v>
      </c>
      <c r="J84" s="15" t="n">
        <v>0</v>
      </c>
    </row>
    <row r="85">
      <c r="A85" s="11" t="inlineStr">
        <is>
          <t>3区</t>
        </is>
      </c>
      <c r="B85" s="15" t="n">
        <v>0</v>
      </c>
      <c r="C85" s="15" t="n">
        <v>0</v>
      </c>
      <c r="D85" s="15" t="n">
        <v>0</v>
      </c>
      <c r="E85" s="15" t="n">
        <v>0</v>
      </c>
      <c r="F85" s="15" t="n">
        <v>0</v>
      </c>
      <c r="G85" s="15" t="n">
        <v>0</v>
      </c>
      <c r="H85" s="15" t="n">
        <v>0</v>
      </c>
      <c r="I85" s="15" t="n">
        <v>0</v>
      </c>
      <c r="J85" s="15" t="n">
        <v>0</v>
      </c>
    </row>
    <row r="86">
      <c r="F86" s="15" t="inlineStr">
        <is>
          <t>合计:</t>
        </is>
      </c>
      <c r="G86" s="15" t="n">
        <v>0</v>
      </c>
      <c r="H86" s="15" t="n">
        <v>0</v>
      </c>
      <c r="I86" s="15" t="n">
        <v>0</v>
      </c>
      <c r="J86" s="19" t="n">
        <v>0</v>
      </c>
    </row>
    <row r="88">
      <c r="E88" s="0" t="inlineStr">
        <is>
          <t>2026年3月</t>
        </is>
      </c>
    </row>
    <row r="89">
      <c r="B89" s="15" t="inlineStr">
        <is>
          <t>荔新大道</t>
        </is>
      </c>
      <c r="C89" s="10" t="inlineStr">
        <is>
          <t>宁西总表（插入式）DN1200</t>
        </is>
      </c>
      <c r="D89" s="10" t="inlineStr">
        <is>
          <t>如丰大道</t>
        </is>
      </c>
      <c r="E89" s="10" t="inlineStr">
        <is>
          <t>新城大道医院NB</t>
        </is>
      </c>
      <c r="F89" s="13" t="inlineStr">
        <is>
          <t>三棵竹</t>
        </is>
      </c>
      <c r="G89" s="15" t="inlineStr">
        <is>
          <t>供水量</t>
        </is>
      </c>
      <c r="H89" s="10" t="inlineStr">
        <is>
          <t>售水量</t>
        </is>
      </c>
      <c r="I89" s="10" t="inlineStr">
        <is>
          <t>损耗水量</t>
        </is>
      </c>
      <c r="J89" s="13" t="inlineStr">
        <is>
          <t>水损耗（百分比）</t>
        </is>
      </c>
    </row>
    <row r="90">
      <c r="A90" s="11" t="inlineStr">
        <is>
          <t>1区</t>
        </is>
      </c>
      <c r="B90" s="15" t="n">
        <v>0</v>
      </c>
      <c r="C90" s="15" t="n">
        <v>0</v>
      </c>
      <c r="D90" s="15" t="n">
        <v>0</v>
      </c>
      <c r="E90" s="15" t="n">
        <v>0</v>
      </c>
      <c r="F90" s="15" t="n">
        <v>0</v>
      </c>
      <c r="G90" s="15" t="n">
        <v>0</v>
      </c>
      <c r="H90" s="15" t="n">
        <v>0</v>
      </c>
      <c r="I90" s="15" t="n">
        <v>0</v>
      </c>
      <c r="J90" s="15" t="n">
        <v>0</v>
      </c>
    </row>
    <row r="91">
      <c r="A91" s="11" t="inlineStr">
        <is>
          <t>2区</t>
        </is>
      </c>
      <c r="B91" s="15" t="n">
        <v>0</v>
      </c>
      <c r="C91" s="15" t="n">
        <v>0</v>
      </c>
      <c r="D91" s="15" t="n">
        <v>0</v>
      </c>
      <c r="E91" s="15" t="n">
        <v>0</v>
      </c>
      <c r="F91" s="15" t="n">
        <v>0</v>
      </c>
      <c r="G91" s="15" t="n">
        <v>0</v>
      </c>
      <c r="H91" s="15" t="n">
        <v>0</v>
      </c>
      <c r="I91" s="15" t="n">
        <v>0</v>
      </c>
      <c r="J91" s="15" t="n">
        <v>0</v>
      </c>
    </row>
    <row r="92">
      <c r="A92" s="11" t="inlineStr">
        <is>
          <t>3区</t>
        </is>
      </c>
      <c r="B92" s="15" t="n">
        <v>0</v>
      </c>
      <c r="C92" s="15" t="n">
        <v>0</v>
      </c>
      <c r="D92" s="15" t="n">
        <v>0</v>
      </c>
      <c r="E92" s="15" t="n">
        <v>0</v>
      </c>
      <c r="F92" s="15" t="n">
        <v>0</v>
      </c>
      <c r="G92" s="15" t="n">
        <v>0</v>
      </c>
      <c r="H92" s="15" t="n">
        <v>0</v>
      </c>
      <c r="I92" s="15" t="n">
        <v>0</v>
      </c>
      <c r="J92" s="15" t="n">
        <v>0</v>
      </c>
    </row>
    <row r="93">
      <c r="F93" s="15" t="inlineStr">
        <is>
          <t>合计:</t>
        </is>
      </c>
      <c r="G93" s="15" t="n">
        <v>0</v>
      </c>
      <c r="H93" s="15" t="n">
        <v>0</v>
      </c>
      <c r="I93" s="15" t="n">
        <v>0</v>
      </c>
      <c r="J93" s="19" t="n">
        <v>0</v>
      </c>
    </row>
    <row r="95">
      <c r="E95" s="0" t="inlineStr">
        <is>
          <t>2026年4月</t>
        </is>
      </c>
    </row>
    <row r="96">
      <c r="B96" s="15" t="inlineStr">
        <is>
          <t>荔新大道</t>
        </is>
      </c>
      <c r="C96" s="10" t="inlineStr">
        <is>
          <t>宁西总表（插入式）DN1200</t>
        </is>
      </c>
      <c r="D96" s="10" t="inlineStr">
        <is>
          <t>如丰大道</t>
        </is>
      </c>
      <c r="E96" s="10" t="inlineStr">
        <is>
          <t>新城大道医院NB</t>
        </is>
      </c>
      <c r="F96" s="13" t="inlineStr">
        <is>
          <t>三棵竹</t>
        </is>
      </c>
      <c r="G96" s="15" t="inlineStr">
        <is>
          <t>供水量</t>
        </is>
      </c>
      <c r="H96" s="10" t="inlineStr">
        <is>
          <t>售水量</t>
        </is>
      </c>
      <c r="I96" s="10" t="inlineStr">
        <is>
          <t>损耗水量</t>
        </is>
      </c>
      <c r="J96" s="13" t="inlineStr">
        <is>
          <t>水损耗（百分比）</t>
        </is>
      </c>
    </row>
    <row r="97">
      <c r="A97" s="11" t="inlineStr">
        <is>
          <t>1区</t>
        </is>
      </c>
      <c r="B97" s="15" t="n">
        <v>0</v>
      </c>
      <c r="C97" s="15" t="n">
        <v>0</v>
      </c>
      <c r="D97" s="15" t="n">
        <v>0</v>
      </c>
      <c r="E97" s="15" t="n">
        <v>0</v>
      </c>
      <c r="F97" s="15" t="n">
        <v>0</v>
      </c>
      <c r="G97" s="15" t="n">
        <v>0</v>
      </c>
      <c r="H97" s="15" t="n">
        <v>0</v>
      </c>
      <c r="I97" s="15" t="n">
        <v>0</v>
      </c>
      <c r="J97" s="15" t="n">
        <v>0</v>
      </c>
    </row>
    <row r="98">
      <c r="A98" s="11" t="inlineStr">
        <is>
          <t>2区</t>
        </is>
      </c>
      <c r="B98" s="15" t="n">
        <v>0</v>
      </c>
      <c r="C98" s="15" t="n">
        <v>0</v>
      </c>
      <c r="D98" s="15" t="n">
        <v>0</v>
      </c>
      <c r="E98" s="15" t="n">
        <v>0</v>
      </c>
      <c r="F98" s="15" t="n">
        <v>0</v>
      </c>
      <c r="G98" s="15" t="n">
        <v>0</v>
      </c>
      <c r="H98" s="15" t="n">
        <v>0</v>
      </c>
      <c r="I98" s="15" t="n">
        <v>0</v>
      </c>
      <c r="J98" s="15" t="n">
        <v>0</v>
      </c>
    </row>
    <row r="99">
      <c r="A99" s="11" t="inlineStr">
        <is>
          <t>3区</t>
        </is>
      </c>
      <c r="B99" s="15" t="n">
        <v>0</v>
      </c>
      <c r="C99" s="15" t="n">
        <v>0</v>
      </c>
      <c r="D99" s="15" t="n">
        <v>0</v>
      </c>
      <c r="E99" s="15" t="n">
        <v>0</v>
      </c>
      <c r="F99" s="15" t="n">
        <v>0</v>
      </c>
      <c r="G99" s="15" t="n">
        <v>0</v>
      </c>
      <c r="H99" s="15" t="n">
        <v>0</v>
      </c>
      <c r="I99" s="15" t="n">
        <v>0</v>
      </c>
      <c r="J99" s="15" t="n">
        <v>0</v>
      </c>
    </row>
    <row r="100">
      <c r="F100" s="15" t="inlineStr">
        <is>
          <t>合计:</t>
        </is>
      </c>
      <c r="G100" s="15" t="n">
        <v>0</v>
      </c>
      <c r="H100" s="15" t="n">
        <v>0</v>
      </c>
      <c r="I100" s="15" t="n">
        <v>0</v>
      </c>
      <c r="J100" s="19" t="n">
        <v>0</v>
      </c>
    </row>
    <row r="102">
      <c r="E102" s="0" t="inlineStr">
        <is>
          <t>2026年5月</t>
        </is>
      </c>
    </row>
    <row r="103">
      <c r="B103" s="15" t="inlineStr">
        <is>
          <t>荔新大道</t>
        </is>
      </c>
      <c r="C103" s="10" t="inlineStr">
        <is>
          <t>宁西总表（插入式）DN1200</t>
        </is>
      </c>
      <c r="D103" s="10" t="inlineStr">
        <is>
          <t>如丰大道</t>
        </is>
      </c>
      <c r="E103" s="10" t="inlineStr">
        <is>
          <t>新城大道医院NB</t>
        </is>
      </c>
      <c r="F103" s="13" t="inlineStr">
        <is>
          <t>三棵竹</t>
        </is>
      </c>
      <c r="G103" s="15" t="inlineStr">
        <is>
          <t>供水量</t>
        </is>
      </c>
      <c r="H103" s="10" t="inlineStr">
        <is>
          <t>售水量</t>
        </is>
      </c>
      <c r="I103" s="10" t="inlineStr">
        <is>
          <t>损耗水量</t>
        </is>
      </c>
      <c r="J103" s="13" t="inlineStr">
        <is>
          <t>水损耗（百分比）</t>
        </is>
      </c>
    </row>
    <row r="104">
      <c r="A104" s="11" t="inlineStr">
        <is>
          <t>1区</t>
        </is>
      </c>
      <c r="B104" s="15" t="n">
        <v>0</v>
      </c>
      <c r="C104" s="15" t="n">
        <v>0</v>
      </c>
      <c r="D104" s="15" t="n">
        <v>0</v>
      </c>
      <c r="E104" s="15" t="n">
        <v>0</v>
      </c>
      <c r="F104" s="15" t="n">
        <v>0</v>
      </c>
      <c r="G104" s="15" t="n">
        <v>0</v>
      </c>
      <c r="H104" s="15" t="n">
        <v>0</v>
      </c>
      <c r="I104" s="15" t="n">
        <v>0</v>
      </c>
      <c r="J104" s="15" t="n">
        <v>0</v>
      </c>
    </row>
    <row r="105">
      <c r="A105" s="11" t="inlineStr">
        <is>
          <t>2区</t>
        </is>
      </c>
      <c r="B105" s="15" t="n">
        <v>0</v>
      </c>
      <c r="C105" s="15" t="n">
        <v>0</v>
      </c>
      <c r="D105" s="15" t="n">
        <v>0</v>
      </c>
      <c r="E105" s="15" t="n">
        <v>0</v>
      </c>
      <c r="F105" s="15" t="n">
        <v>0</v>
      </c>
      <c r="G105" s="15" t="n">
        <v>0</v>
      </c>
      <c r="H105" s="15" t="n">
        <v>0</v>
      </c>
      <c r="I105" s="15" t="n">
        <v>0</v>
      </c>
      <c r="J105" s="15" t="n">
        <v>0</v>
      </c>
    </row>
    <row r="106">
      <c r="A106" s="11" t="inlineStr">
        <is>
          <t>3区</t>
        </is>
      </c>
      <c r="B106" s="15" t="n">
        <v>0</v>
      </c>
      <c r="C106" s="15" t="n">
        <v>0</v>
      </c>
      <c r="D106" s="15" t="n">
        <v>0</v>
      </c>
      <c r="E106" s="15" t="n">
        <v>0</v>
      </c>
      <c r="F106" s="15" t="n">
        <v>0</v>
      </c>
      <c r="G106" s="15" t="n">
        <v>0</v>
      </c>
      <c r="H106" s="15" t="n">
        <v>0</v>
      </c>
      <c r="I106" s="15" t="n">
        <v>0</v>
      </c>
      <c r="J106" s="15" t="n">
        <v>0</v>
      </c>
    </row>
    <row r="107">
      <c r="F107" s="15" t="inlineStr">
        <is>
          <t>合计:</t>
        </is>
      </c>
      <c r="G107" s="15" t="n">
        <v>0</v>
      </c>
      <c r="H107" s="15" t="n">
        <v>0</v>
      </c>
      <c r="I107" s="15" t="n">
        <v>0</v>
      </c>
      <c r="J107" s="19" t="n">
        <v>0</v>
      </c>
    </row>
    <row r="109">
      <c r="E109" s="0" t="inlineStr">
        <is>
          <t>2026年6月</t>
        </is>
      </c>
    </row>
    <row r="110">
      <c r="B110" s="15" t="inlineStr">
        <is>
          <t>荔新大道</t>
        </is>
      </c>
      <c r="C110" s="10" t="inlineStr">
        <is>
          <t>宁西总表（插入式）DN1200</t>
        </is>
      </c>
      <c r="D110" s="10" t="inlineStr">
        <is>
          <t>如丰大道</t>
        </is>
      </c>
      <c r="E110" s="10" t="inlineStr">
        <is>
          <t>新城大道医院NB</t>
        </is>
      </c>
      <c r="F110" s="13" t="inlineStr">
        <is>
          <t>三棵竹</t>
        </is>
      </c>
      <c r="G110" s="15" t="inlineStr">
        <is>
          <t>供水量</t>
        </is>
      </c>
      <c r="H110" s="10" t="inlineStr">
        <is>
          <t>售水量</t>
        </is>
      </c>
      <c r="I110" s="10" t="inlineStr">
        <is>
          <t>损耗水量</t>
        </is>
      </c>
      <c r="J110" s="13" t="inlineStr">
        <is>
          <t>水损耗（百分比）</t>
        </is>
      </c>
    </row>
    <row r="111">
      <c r="A111" s="11" t="inlineStr">
        <is>
          <t>1区</t>
        </is>
      </c>
      <c r="B111" s="15" t="n">
        <v>0</v>
      </c>
      <c r="C111" s="15" t="n">
        <v>0</v>
      </c>
      <c r="D111" s="15" t="n">
        <v>0</v>
      </c>
      <c r="E111" s="15" t="n">
        <v>0</v>
      </c>
      <c r="F111" s="15" t="n">
        <v>0</v>
      </c>
      <c r="G111" s="15" t="n">
        <v>0</v>
      </c>
      <c r="H111" s="15" t="n">
        <v>0</v>
      </c>
      <c r="I111" s="15" t="n">
        <v>0</v>
      </c>
      <c r="J111" s="15" t="n">
        <v>0</v>
      </c>
    </row>
    <row r="112">
      <c r="A112" s="11" t="inlineStr">
        <is>
          <t>2区</t>
        </is>
      </c>
      <c r="B112" s="15" t="n">
        <v>0</v>
      </c>
      <c r="C112" s="15" t="n">
        <v>0</v>
      </c>
      <c r="D112" s="15" t="n">
        <v>0</v>
      </c>
      <c r="E112" s="15" t="n">
        <v>0</v>
      </c>
      <c r="F112" s="15" t="n">
        <v>0</v>
      </c>
      <c r="G112" s="15" t="n">
        <v>0</v>
      </c>
      <c r="H112" s="15" t="n">
        <v>0</v>
      </c>
      <c r="I112" s="15" t="n">
        <v>0</v>
      </c>
      <c r="J112" s="15" t="n">
        <v>0</v>
      </c>
    </row>
    <row r="113">
      <c r="A113" s="11" t="inlineStr">
        <is>
          <t>3区</t>
        </is>
      </c>
      <c r="B113" s="15" t="n">
        <v>0</v>
      </c>
      <c r="C113" s="15" t="n">
        <v>0</v>
      </c>
      <c r="D113" s="15" t="n">
        <v>0</v>
      </c>
      <c r="E113" s="15" t="n">
        <v>0</v>
      </c>
      <c r="F113" s="15" t="n">
        <v>0</v>
      </c>
      <c r="G113" s="15" t="n">
        <v>0</v>
      </c>
      <c r="H113" s="15" t="n">
        <v>0</v>
      </c>
      <c r="I113" s="15" t="n">
        <v>0</v>
      </c>
      <c r="J113" s="15" t="n">
        <v>0</v>
      </c>
    </row>
    <row r="114">
      <c r="F114" s="15" t="inlineStr">
        <is>
          <t>合计:</t>
        </is>
      </c>
      <c r="G114" s="15" t="n">
        <v>0</v>
      </c>
      <c r="H114" s="15" t="n">
        <v>0</v>
      </c>
      <c r="I114" s="15" t="n">
        <v>0</v>
      </c>
      <c r="J114" s="19" t="n">
        <v>0</v>
      </c>
    </row>
    <row r="116">
      <c r="E116" s="0" t="inlineStr">
        <is>
          <t>2026年7月</t>
        </is>
      </c>
    </row>
    <row r="117">
      <c r="B117" s="15" t="inlineStr">
        <is>
          <t>荔新大道</t>
        </is>
      </c>
      <c r="C117" s="10" t="inlineStr">
        <is>
          <t>宁西总表（插入式）DN1200</t>
        </is>
      </c>
      <c r="D117" s="10" t="inlineStr">
        <is>
          <t>如丰大道</t>
        </is>
      </c>
      <c r="E117" s="10" t="inlineStr">
        <is>
          <t>新城大道医院NB</t>
        </is>
      </c>
      <c r="F117" s="13" t="inlineStr">
        <is>
          <t>三棵竹</t>
        </is>
      </c>
      <c r="G117" s="15" t="inlineStr">
        <is>
          <t>供水量</t>
        </is>
      </c>
      <c r="H117" s="10" t="inlineStr">
        <is>
          <t>售水量</t>
        </is>
      </c>
      <c r="I117" s="10" t="inlineStr">
        <is>
          <t>损耗水量</t>
        </is>
      </c>
      <c r="J117" s="13" t="inlineStr">
        <is>
          <t>水损耗（百分比）</t>
        </is>
      </c>
    </row>
    <row r="118">
      <c r="A118" s="11" t="inlineStr">
        <is>
          <t>1区</t>
        </is>
      </c>
      <c r="B118" s="15" t="n">
        <v>0</v>
      </c>
      <c r="C118" s="15" t="n">
        <v>0</v>
      </c>
      <c r="D118" s="15" t="n">
        <v>0</v>
      </c>
      <c r="E118" s="15" t="n">
        <v>0</v>
      </c>
      <c r="F118" s="15" t="n">
        <v>0</v>
      </c>
      <c r="G118" s="15" t="n">
        <v>0</v>
      </c>
      <c r="H118" s="15" t="n">
        <v>0</v>
      </c>
      <c r="I118" s="15" t="n">
        <v>0</v>
      </c>
      <c r="J118" s="15" t="n">
        <v>0</v>
      </c>
    </row>
    <row r="119">
      <c r="A119" s="11" t="inlineStr">
        <is>
          <t>2区</t>
        </is>
      </c>
      <c r="B119" s="15" t="n">
        <v>0</v>
      </c>
      <c r="C119" s="15" t="n">
        <v>0</v>
      </c>
      <c r="D119" s="15" t="n">
        <v>0</v>
      </c>
      <c r="E119" s="15" t="n">
        <v>0</v>
      </c>
      <c r="F119" s="15" t="n">
        <v>0</v>
      </c>
      <c r="G119" s="15" t="n">
        <v>0</v>
      </c>
      <c r="H119" s="15" t="n">
        <v>0</v>
      </c>
      <c r="I119" s="15" t="n">
        <v>0</v>
      </c>
      <c r="J119" s="15" t="n">
        <v>0</v>
      </c>
    </row>
    <row r="120">
      <c r="A120" s="11" t="inlineStr">
        <is>
          <t>3区</t>
        </is>
      </c>
      <c r="B120" s="15" t="n">
        <v>0</v>
      </c>
      <c r="C120" s="15" t="n">
        <v>0</v>
      </c>
      <c r="D120" s="15" t="n">
        <v>0</v>
      </c>
      <c r="E120" s="15" t="n">
        <v>0</v>
      </c>
      <c r="F120" s="15" t="n">
        <v>0</v>
      </c>
      <c r="G120" s="15" t="n">
        <v>0</v>
      </c>
      <c r="H120" s="15" t="n">
        <v>0</v>
      </c>
      <c r="I120" s="15" t="n">
        <v>0</v>
      </c>
      <c r="J120" s="15" t="n">
        <v>0</v>
      </c>
    </row>
    <row r="121">
      <c r="F121" s="15" t="inlineStr">
        <is>
          <t>合计:</t>
        </is>
      </c>
      <c r="G121" s="15" t="n">
        <v>0</v>
      </c>
      <c r="H121" s="15" t="n">
        <v>0</v>
      </c>
      <c r="I121" s="15" t="n">
        <v>0</v>
      </c>
      <c r="J121" s="19" t="n">
        <v>0</v>
      </c>
    </row>
    <row r="123">
      <c r="E123" s="0" t="inlineStr">
        <is>
          <t>2026年8月</t>
        </is>
      </c>
    </row>
    <row r="124">
      <c r="B124" s="15" t="inlineStr">
        <is>
          <t>荔新大道</t>
        </is>
      </c>
      <c r="C124" s="10" t="inlineStr">
        <is>
          <t>宁西总表（插入式）DN1200</t>
        </is>
      </c>
      <c r="D124" s="10" t="inlineStr">
        <is>
          <t>如丰大道</t>
        </is>
      </c>
      <c r="E124" s="10" t="inlineStr">
        <is>
          <t>新城大道医院NB</t>
        </is>
      </c>
      <c r="F124" s="13" t="inlineStr">
        <is>
          <t>三棵竹</t>
        </is>
      </c>
      <c r="G124" s="15" t="inlineStr">
        <is>
          <t>供水量</t>
        </is>
      </c>
      <c r="H124" s="10" t="inlineStr">
        <is>
          <t>售水量</t>
        </is>
      </c>
      <c r="I124" s="10" t="inlineStr">
        <is>
          <t>损耗水量</t>
        </is>
      </c>
      <c r="J124" s="13" t="inlineStr">
        <is>
          <t>水损耗（百分比）</t>
        </is>
      </c>
    </row>
    <row r="125">
      <c r="A125" s="11" t="inlineStr">
        <is>
          <t>1区</t>
        </is>
      </c>
      <c r="B125" s="15" t="n">
        <v>0</v>
      </c>
      <c r="C125" s="15" t="n">
        <v>0</v>
      </c>
      <c r="D125" s="15" t="n">
        <v>0</v>
      </c>
      <c r="E125" s="15" t="n">
        <v>0</v>
      </c>
      <c r="F125" s="15" t="n">
        <v>0</v>
      </c>
      <c r="G125" s="15" t="n">
        <v>0</v>
      </c>
      <c r="H125" s="15" t="n">
        <v>0</v>
      </c>
      <c r="I125" s="15" t="n">
        <v>0</v>
      </c>
      <c r="J125" s="15" t="n">
        <v>0</v>
      </c>
    </row>
    <row r="126">
      <c r="A126" s="11" t="inlineStr">
        <is>
          <t>2区</t>
        </is>
      </c>
      <c r="B126" s="15" t="n">
        <v>0</v>
      </c>
      <c r="C126" s="15" t="n">
        <v>0</v>
      </c>
      <c r="D126" s="15" t="n">
        <v>0</v>
      </c>
      <c r="E126" s="15" t="n">
        <v>0</v>
      </c>
      <c r="F126" s="15" t="n">
        <v>0</v>
      </c>
      <c r="G126" s="15" t="n">
        <v>0</v>
      </c>
      <c r="H126" s="15" t="n">
        <v>0</v>
      </c>
      <c r="I126" s="15" t="n">
        <v>0</v>
      </c>
      <c r="J126" s="15" t="n">
        <v>0</v>
      </c>
    </row>
    <row r="127">
      <c r="A127" s="11" t="inlineStr">
        <is>
          <t>3区</t>
        </is>
      </c>
      <c r="B127" s="15" t="n">
        <v>0</v>
      </c>
      <c r="C127" s="15" t="n">
        <v>0</v>
      </c>
      <c r="D127" s="15" t="n">
        <v>0</v>
      </c>
      <c r="E127" s="15" t="n">
        <v>0</v>
      </c>
      <c r="F127" s="15" t="n">
        <v>0</v>
      </c>
      <c r="G127" s="15" t="n">
        <v>0</v>
      </c>
      <c r="H127" s="15" t="n">
        <v>0</v>
      </c>
      <c r="I127" s="15" t="n">
        <v>0</v>
      </c>
      <c r="J127" s="15" t="n">
        <v>0</v>
      </c>
    </row>
    <row r="128">
      <c r="F128" s="15" t="inlineStr">
        <is>
          <t>合计:</t>
        </is>
      </c>
      <c r="G128" s="15" t="n">
        <v>0</v>
      </c>
      <c r="H128" s="15" t="n">
        <v>0</v>
      </c>
      <c r="I128" s="15" t="n">
        <v>0</v>
      </c>
      <c r="J128" s="19" t="n">
        <v>0</v>
      </c>
    </row>
    <row r="130">
      <c r="E130" s="0" t="inlineStr">
        <is>
          <t>2026年9月</t>
        </is>
      </c>
    </row>
    <row r="131">
      <c r="B131" s="15" t="inlineStr">
        <is>
          <t>荔新大道</t>
        </is>
      </c>
      <c r="C131" s="10" t="inlineStr">
        <is>
          <t>宁西总表（插入式）DN1200</t>
        </is>
      </c>
      <c r="D131" s="10" t="inlineStr">
        <is>
          <t>如丰大道</t>
        </is>
      </c>
      <c r="E131" s="10" t="inlineStr">
        <is>
          <t>新城大道医院NB</t>
        </is>
      </c>
      <c r="F131" s="13" t="inlineStr">
        <is>
          <t>三棵竹</t>
        </is>
      </c>
      <c r="G131" s="15" t="inlineStr">
        <is>
          <t>供水量</t>
        </is>
      </c>
      <c r="H131" s="10" t="inlineStr">
        <is>
          <t>售水量</t>
        </is>
      </c>
      <c r="I131" s="10" t="inlineStr">
        <is>
          <t>损耗水量</t>
        </is>
      </c>
      <c r="J131" s="13" t="inlineStr">
        <is>
          <t>水损耗（百分比）</t>
        </is>
      </c>
    </row>
    <row r="132">
      <c r="A132" s="11" t="inlineStr">
        <is>
          <t>1区</t>
        </is>
      </c>
      <c r="B132" s="15" t="n">
        <v>0</v>
      </c>
      <c r="C132" s="15" t="n">
        <v>0</v>
      </c>
      <c r="D132" s="15" t="n">
        <v>0</v>
      </c>
      <c r="E132" s="15" t="n">
        <v>0</v>
      </c>
      <c r="F132" s="15" t="n">
        <v>0</v>
      </c>
      <c r="G132" s="15" t="n">
        <v>0</v>
      </c>
      <c r="H132" s="15" t="n">
        <v>0</v>
      </c>
      <c r="I132" s="15" t="n">
        <v>0</v>
      </c>
      <c r="J132" s="15" t="n">
        <v>0</v>
      </c>
    </row>
    <row r="133">
      <c r="A133" s="11" t="inlineStr">
        <is>
          <t>2区</t>
        </is>
      </c>
      <c r="B133" s="15" t="n">
        <v>0</v>
      </c>
      <c r="C133" s="15" t="n">
        <v>0</v>
      </c>
      <c r="D133" s="15" t="n">
        <v>0</v>
      </c>
      <c r="E133" s="15" t="n">
        <v>0</v>
      </c>
      <c r="F133" s="15" t="n">
        <v>0</v>
      </c>
      <c r="G133" s="15" t="n">
        <v>0</v>
      </c>
      <c r="H133" s="15" t="n">
        <v>0</v>
      </c>
      <c r="I133" s="15" t="n">
        <v>0</v>
      </c>
      <c r="J133" s="15" t="n">
        <v>0</v>
      </c>
    </row>
    <row r="134">
      <c r="A134" s="11" t="inlineStr">
        <is>
          <t>3区</t>
        </is>
      </c>
      <c r="B134" s="15" t="n">
        <v>0</v>
      </c>
      <c r="C134" s="15" t="n">
        <v>0</v>
      </c>
      <c r="D134" s="15" t="n">
        <v>0</v>
      </c>
      <c r="E134" s="15" t="n">
        <v>0</v>
      </c>
      <c r="F134" s="15" t="n">
        <v>0</v>
      </c>
      <c r="G134" s="15" t="n">
        <v>0</v>
      </c>
      <c r="H134" s="15" t="n">
        <v>0</v>
      </c>
      <c r="I134" s="15" t="n">
        <v>0</v>
      </c>
      <c r="J134" s="15" t="n">
        <v>0</v>
      </c>
    </row>
    <row r="135">
      <c r="F135" s="15" t="inlineStr">
        <is>
          <t>合计:</t>
        </is>
      </c>
      <c r="G135" s="15" t="n">
        <v>0</v>
      </c>
      <c r="H135" s="15" t="n">
        <v>0</v>
      </c>
      <c r="I135" s="15" t="n">
        <v>0</v>
      </c>
      <c r="J135" s="19" t="n">
        <v>0</v>
      </c>
    </row>
    <row r="136"/>
    <row r="137">
      <c r="E137" s="0" t="inlineStr">
        <is>
          <t>2026年10月</t>
        </is>
      </c>
    </row>
    <row r="138">
      <c r="B138" s="15" t="inlineStr">
        <is>
          <t>荔新大道</t>
        </is>
      </c>
      <c r="C138" s="10" t="inlineStr">
        <is>
          <t>宁西总表（插入式）DN1200</t>
        </is>
      </c>
      <c r="D138" s="10" t="inlineStr">
        <is>
          <t>如丰大道</t>
        </is>
      </c>
      <c r="E138" s="10" t="inlineStr">
        <is>
          <t>新城大道医院NB</t>
        </is>
      </c>
      <c r="F138" s="13" t="inlineStr">
        <is>
          <t>三棵竹</t>
        </is>
      </c>
      <c r="G138" s="15" t="inlineStr">
        <is>
          <t>供水量</t>
        </is>
      </c>
      <c r="H138" s="10" t="inlineStr">
        <is>
          <t>售水量</t>
        </is>
      </c>
      <c r="I138" s="10" t="inlineStr">
        <is>
          <t>损耗水量</t>
        </is>
      </c>
      <c r="J138" s="13" t="inlineStr">
        <is>
          <t>水损耗（百分比）</t>
        </is>
      </c>
    </row>
    <row r="139">
      <c r="A139" s="11" t="inlineStr">
        <is>
          <t>1区</t>
        </is>
      </c>
      <c r="B139" s="15" t="n">
        <v>0</v>
      </c>
      <c r="C139" s="15" t="n">
        <v>0</v>
      </c>
      <c r="D139" s="15" t="n">
        <v>0</v>
      </c>
      <c r="E139" s="15" t="n">
        <v>0</v>
      </c>
      <c r="F139" s="15" t="n">
        <v>0</v>
      </c>
      <c r="G139" s="15" t="n">
        <v>0</v>
      </c>
      <c r="H139" s="15" t="n">
        <v>0</v>
      </c>
      <c r="I139" s="15" t="n">
        <v>0</v>
      </c>
      <c r="J139" s="15" t="n">
        <v>0</v>
      </c>
    </row>
    <row r="140">
      <c r="A140" s="11" t="inlineStr">
        <is>
          <t>2区</t>
        </is>
      </c>
      <c r="B140" s="15" t="n">
        <v>0</v>
      </c>
      <c r="C140" s="15" t="n">
        <v>0</v>
      </c>
      <c r="D140" s="15" t="n">
        <v>0</v>
      </c>
      <c r="E140" s="15" t="n">
        <v>0</v>
      </c>
      <c r="F140" s="15" t="n">
        <v>0</v>
      </c>
      <c r="G140" s="15" t="n">
        <v>0</v>
      </c>
      <c r="H140" s="15" t="n">
        <v>0</v>
      </c>
      <c r="I140" s="15" t="n">
        <v>0</v>
      </c>
      <c r="J140" s="15" t="n">
        <v>0</v>
      </c>
    </row>
    <row r="141">
      <c r="A141" s="11" t="inlineStr">
        <is>
          <t>3区</t>
        </is>
      </c>
      <c r="B141" s="15" t="n">
        <v>0</v>
      </c>
      <c r="C141" s="15" t="n">
        <v>0</v>
      </c>
      <c r="D141" s="15" t="n">
        <v>0</v>
      </c>
      <c r="E141" s="15" t="n">
        <v>0</v>
      </c>
      <c r="F141" s="15" t="n">
        <v>0</v>
      </c>
      <c r="G141" s="15" t="n">
        <v>0</v>
      </c>
      <c r="H141" s="15" t="n">
        <v>0</v>
      </c>
      <c r="I141" s="15" t="n">
        <v>0</v>
      </c>
      <c r="J141" s="15" t="n">
        <v>0</v>
      </c>
    </row>
    <row r="142">
      <c r="F142" s="15" t="inlineStr">
        <is>
          <t>合计:</t>
        </is>
      </c>
      <c r="G142" s="15" t="n">
        <v>0</v>
      </c>
      <c r="H142" s="15" t="n">
        <v>0</v>
      </c>
      <c r="I142" s="15" t="n">
        <v>0</v>
      </c>
      <c r="J142" s="19" t="n">
        <v>0</v>
      </c>
    </row>
    <row r="144">
      <c r="E144" t="inlineStr">
        <is>
          <t>2026年11月</t>
        </is>
      </c>
    </row>
    <row r="145">
      <c r="B145" s="15" t="inlineStr">
        <is>
          <t>荔新大道</t>
        </is>
      </c>
      <c r="C145" s="10" t="inlineStr">
        <is>
          <t>宁西总表（插入式）DN1200</t>
        </is>
      </c>
      <c r="D145" s="10" t="inlineStr">
        <is>
          <t>如丰大道</t>
        </is>
      </c>
      <c r="E145" s="10" t="inlineStr">
        <is>
          <t>新城大道医院NB</t>
        </is>
      </c>
      <c r="F145" s="13" t="inlineStr">
        <is>
          <t>三棵竹</t>
        </is>
      </c>
      <c r="G145" s="15" t="inlineStr">
        <is>
          <t>供水量</t>
        </is>
      </c>
      <c r="H145" s="10" t="inlineStr">
        <is>
          <t>售水量</t>
        </is>
      </c>
      <c r="I145" s="10" t="inlineStr">
        <is>
          <t>损耗水量</t>
        </is>
      </c>
      <c r="J145" s="13" t="inlineStr">
        <is>
          <t>水损耗（百分比）</t>
        </is>
      </c>
    </row>
    <row r="146">
      <c r="A146" s="11" t="inlineStr">
        <is>
          <t>1区</t>
        </is>
      </c>
      <c r="B146" s="15" t="n">
        <v>0</v>
      </c>
      <c r="C146" s="15" t="n">
        <v>0</v>
      </c>
      <c r="D146" s="15" t="n">
        <v>0</v>
      </c>
      <c r="E146" s="15" t="n">
        <v>0</v>
      </c>
      <c r="F146" s="15" t="n">
        <v>0</v>
      </c>
      <c r="G146" s="15" t="n">
        <v>0</v>
      </c>
      <c r="H146" s="15" t="n">
        <v>0</v>
      </c>
      <c r="I146" s="15" t="n">
        <v>0</v>
      </c>
      <c r="J146" s="15" t="n">
        <v>0</v>
      </c>
    </row>
    <row r="147">
      <c r="A147" s="11" t="inlineStr">
        <is>
          <t>2区</t>
        </is>
      </c>
      <c r="B147" s="15" t="n">
        <v>0</v>
      </c>
      <c r="C147" s="15" t="n">
        <v>0</v>
      </c>
      <c r="D147" s="15" t="n">
        <v>0</v>
      </c>
      <c r="E147" s="15" t="n">
        <v>0</v>
      </c>
      <c r="F147" s="15" t="n">
        <v>0</v>
      </c>
      <c r="G147" s="15" t="n">
        <v>0</v>
      </c>
      <c r="H147" s="15" t="n">
        <v>0</v>
      </c>
      <c r="I147" s="15" t="n">
        <v>0</v>
      </c>
      <c r="J147" s="15" t="n">
        <v>0</v>
      </c>
    </row>
    <row r="148">
      <c r="A148" s="11" t="inlineStr">
        <is>
          <t>3区</t>
        </is>
      </c>
      <c r="B148" s="15" t="n">
        <v>0</v>
      </c>
      <c r="C148" s="15" t="n">
        <v>0</v>
      </c>
      <c r="D148" s="15" t="n">
        <v>0</v>
      </c>
      <c r="E148" s="15" t="n">
        <v>0</v>
      </c>
      <c r="F148" s="15" t="n">
        <v>0</v>
      </c>
      <c r="G148" s="15" t="n">
        <v>0</v>
      </c>
      <c r="H148" s="15" t="n">
        <v>0</v>
      </c>
      <c r="I148" s="15" t="n">
        <v>0</v>
      </c>
      <c r="J148" s="15" t="n">
        <v>0</v>
      </c>
    </row>
    <row r="149">
      <c r="F149" s="15" t="inlineStr">
        <is>
          <t>合计:</t>
        </is>
      </c>
      <c r="G149" s="15" t="n">
        <v>0</v>
      </c>
      <c r="H149" s="15" t="n">
        <v>0</v>
      </c>
      <c r="I149" s="15" t="n">
        <v>0</v>
      </c>
      <c r="J149" s="19" t="n">
        <v>0</v>
      </c>
    </row>
  </sheetData>
  <mergeCells count="38">
    <mergeCell ref="A23:J23"/>
    <mergeCell ref="B7:F7"/>
    <mergeCell ref="A37:F37"/>
    <mergeCell ref="B46:F46"/>
    <mergeCell ref="A38:J38"/>
    <mergeCell ref="A52:J52"/>
    <mergeCell ref="G32:J32"/>
    <mergeCell ref="C4:D4"/>
    <mergeCell ref="G46:J46"/>
    <mergeCell ref="G60:J60"/>
    <mergeCell ref="B39:F39"/>
    <mergeCell ref="A31:J31"/>
    <mergeCell ref="A9:J9"/>
    <mergeCell ref="B60:F60"/>
    <mergeCell ref="A22:F22"/>
    <mergeCell ref="A59:J59"/>
    <mergeCell ref="B17:F17"/>
    <mergeCell ref="B6:J6"/>
    <mergeCell ref="A29:F29"/>
    <mergeCell ref="B53:F53"/>
    <mergeCell ref="A1:J1"/>
    <mergeCell ref="A45:J45"/>
    <mergeCell ref="B5:J5"/>
    <mergeCell ref="G17:J17"/>
    <mergeCell ref="G39:J39"/>
    <mergeCell ref="A44:F44"/>
    <mergeCell ref="B10:F10"/>
    <mergeCell ref="A58:F58"/>
    <mergeCell ref="A16:J16"/>
    <mergeCell ref="A15:F15"/>
    <mergeCell ref="G10:J10"/>
    <mergeCell ref="B65:F65"/>
    <mergeCell ref="A51:F51"/>
    <mergeCell ref="G53:J53"/>
    <mergeCell ref="B24:F24"/>
    <mergeCell ref="G24:J24"/>
    <mergeCell ref="B32:F32"/>
    <mergeCell ref="C3:D3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2025-02-28T02:13:00Z</dcterms:created>
  <dcterms:modified xsi:type="dcterms:W3CDTF">2026-10-01T02:46:49Z</dcterms:modified>
  <cp:lastModifiedBy>邝绿桂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074833ADF8CF4B12BF2AD9C2AE91D2A8_12</vt:lpwstr>
  </property>
  <property name="KSOProductBuildVer" fmtid="{D5CDD505-2E9C-101B-9397-08002B2CF9AE}" pid="3">
    <vt:lpwstr>2052-12.1.0.23125</vt:lpwstr>
  </property>
</Properties>
</file>